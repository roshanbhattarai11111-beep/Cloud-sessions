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comments3.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osha\OneDrive\Desktop\work\Work in FY 8384\Magic Hydro\"/>
    </mc:Choice>
  </mc:AlternateContent>
  <xr:revisionPtr revIDLastSave="0" documentId="13_ncr:1_{601F0677-EA73-48D8-8E16-0A85B7092F65}" xr6:coauthVersionLast="47" xr6:coauthVersionMax="47" xr10:uidLastSave="{00000000-0000-0000-0000-000000000000}"/>
  <bookViews>
    <workbookView xWindow="-110" yWindow="-110" windowWidth="19420" windowHeight="11500" tabRatio="893" firstSheet="14" activeTab="27" xr2:uid="{47138905-91DA-4747-A0F5-40288BBE1167}"/>
  </bookViews>
  <sheets>
    <sheet name="SOFP  10.18" sheetId="14" r:id="rId1"/>
    <sheet name="SOI 10.18" sheetId="15" r:id="rId2"/>
    <sheet name="SOCE 10.18" sheetId="16" r:id="rId3"/>
    <sheet name="SCF 10.18" sheetId="17" r:id="rId4"/>
    <sheet name="3.1 10.18" sheetId="19" r:id="rId5"/>
    <sheet name="3.4 to 3.6 ao 10.18" sheetId="20" r:id="rId6"/>
    <sheet name="3.7 to 3.8 10.18" sheetId="22" r:id="rId7"/>
    <sheet name="3.9 to 3.11 AO 10.18" sheetId="21" r:id="rId8"/>
    <sheet name="3.12 to 3.18 ao 10.18" sheetId="23" r:id="rId9"/>
    <sheet name="3.19 to 3.20 ao.10.18" sheetId="24" r:id="rId10"/>
    <sheet name="3.16 to 3.20 ao 10.18" sheetId="25" r:id="rId11"/>
    <sheet name="Annex 1&amp;2 ao 10.18" sheetId="18" r:id="rId12"/>
    <sheet name="Tax Computation 10.18" sheetId="26" r:id="rId13"/>
    <sheet name="SOFP  03.15" sheetId="27" r:id="rId14"/>
    <sheet name="SOI 03.15" sheetId="28" r:id="rId15"/>
    <sheet name="SOCE 03.15" sheetId="29" r:id="rId16"/>
    <sheet name="SCF 03.15" sheetId="30" r:id="rId17"/>
    <sheet name="3.1 03.15" sheetId="31" r:id="rId18"/>
    <sheet name="TB update upto 10.18" sheetId="13" r:id="rId19"/>
    <sheet name="3.9 to 3.11 AO 03.15" sheetId="33" r:id="rId20"/>
    <sheet name="3.7 to 3.8 03.15" sheetId="32" r:id="rId21"/>
    <sheet name="3.4 to 3.6 ao 03.15" sheetId="34" r:id="rId22"/>
    <sheet name="3.12 to 3.18 ao 03.15" sheetId="35" r:id="rId23"/>
    <sheet name="3.19 to 3.20 ao.03.15" sheetId="36" r:id="rId24"/>
    <sheet name="3.16 to 3.20 ao 03.15" sheetId="37" r:id="rId25"/>
    <sheet name="Annex 1&amp;2 ao 03.15" sheetId="38" r:id="rId26"/>
    <sheet name="Tax Computation 03.15" sheetId="39" r:id="rId27"/>
    <sheet name="SOFP  03.32" sheetId="40" r:id="rId45"/>
    <sheet name="SOI 03.32" sheetId="41" r:id="rId46"/>
    <sheet name="SOCE 03.32" sheetId="42" r:id="rId47"/>
    <sheet name="SCF 03.32" sheetId="43" r:id="rId48"/>
    <sheet name="3.1 03.32" sheetId="44" r:id="rId49"/>
    <sheet name="3.9 to 3.11 AO 03.32" sheetId="45" r:id="rId50"/>
    <sheet name="3.7 to 3.8 03.32" sheetId="46" r:id="rId51"/>
    <sheet name="3.4 to 3.6 ao 03.32" sheetId="47" r:id="rId52"/>
    <sheet name="3.12 to 3.18 ao 03.32" sheetId="48" r:id="rId53"/>
    <sheet name="3.19 to 3.20 ao.03.32" sheetId="49" r:id="rId54"/>
    <sheet name="3.16 to 3.20 ao 03.32" sheetId="50" r:id="rId55"/>
    <sheet name="Annex 1&amp;2 ao 03.32" sheetId="51" r:id="rId56"/>
    <sheet name="Tax Computation 03.32" sheetId="52" r:id="rId57"/>
    <sheet name="Sheet1" sheetId="1" r:id="rId28"/>
    <sheet name="10.18 to 03.15" sheetId="3" r:id="rId29"/>
    <sheet name="JV 2082.04.01-10.18" sheetId="2" r:id="rId30"/>
    <sheet name="After 03.15" sheetId="4" r:id="rId31"/>
    <sheet name="TB 2082.04.01-10.18" sheetId="9" r:id="rId32"/>
    <sheet name="TB 10.18 to 03.15" sheetId="10" r:id="rId33"/>
    <sheet name="TB After 03.15" sheetId="11" r:id="rId34"/>
    <sheet name="TB Sheet1" sheetId="12" r:id="rId35"/>
  </sheets>
  <externalReferences>
    <externalReference r:id="rId36"/>
    <externalReference r:id="rId37"/>
    <externalReference r:id="rId38"/>
    <externalReference r:id="rId39"/>
    <externalReference r:id="rId40"/>
  </externalReferences>
  <definedNames>
    <definedName name="_______cbc1" hidden="1">{#N/A,#N/A,FALSE,"EX-ISEWA -ccnr";#N/A,#N/A,FALSE,"EX - THAI";#N/A,#N/A,FALSE,"EX - INDIA";#N/A,#N/A,FALSE,"EX - MAL";#N/A,#N/A,FALSE,"EX - SWA";#N/A,#N/A,FALSE,"EX - INDO";#N/A,#N/A,FALSE,"EX - DIV";#N/A,#N/A,FALSE,"EX - CONS THAI";#N/A,#N/A,FALSE,"EX-GTS";#N/A,#N/A,FALSE,"EX-CCNR"}</definedName>
    <definedName name="______cbc1" hidden="1">{#N/A,#N/A,FALSE,"EX-ISEWA -ccnr";#N/A,#N/A,FALSE,"EX - THAI";#N/A,#N/A,FALSE,"EX - INDIA";#N/A,#N/A,FALSE,"EX - MAL";#N/A,#N/A,FALSE,"EX - SWA";#N/A,#N/A,FALSE,"EX - INDO";#N/A,#N/A,FALSE,"EX - DIV";#N/A,#N/A,FALSE,"EX - CONS THAI";#N/A,#N/A,FALSE,"EX-GTS";#N/A,#N/A,FALSE,"EX-CCNR"}</definedName>
    <definedName name="_____cbc1" hidden="1">{#N/A,#N/A,FALSE,"EX-ISEWA -ccnr";#N/A,#N/A,FALSE,"EX - THAI";#N/A,#N/A,FALSE,"EX - INDIA";#N/A,#N/A,FALSE,"EX - MAL";#N/A,#N/A,FALSE,"EX - SWA";#N/A,#N/A,FALSE,"EX - INDO";#N/A,#N/A,FALSE,"EX - DIV";#N/A,#N/A,FALSE,"EX - CONS THAI";#N/A,#N/A,FALSE,"EX-GTS";#N/A,#N/A,FALSE,"EX-CCNR"}</definedName>
    <definedName name="____cbc1" hidden="1">{#N/A,#N/A,FALSE,"EX-ISEWA -ccnr";#N/A,#N/A,FALSE,"EX - THAI";#N/A,#N/A,FALSE,"EX - INDIA";#N/A,#N/A,FALSE,"EX - MAL";#N/A,#N/A,FALSE,"EX - SWA";#N/A,#N/A,FALSE,"EX - INDO";#N/A,#N/A,FALSE,"EX - DIV";#N/A,#N/A,FALSE,"EX - CONS THAI";#N/A,#N/A,FALSE,"EX-GTS";#N/A,#N/A,FALSE,"EX-CCNR"}</definedName>
    <definedName name="___cbc1" hidden="1">{#N/A,#N/A,FALSE,"EX-ISEWA -ccnr";#N/A,#N/A,FALSE,"EX - THAI";#N/A,#N/A,FALSE,"EX - INDIA";#N/A,#N/A,FALSE,"EX - MAL";#N/A,#N/A,FALSE,"EX - SWA";#N/A,#N/A,FALSE,"EX - INDO";#N/A,#N/A,FALSE,"EX - DIV";#N/A,#N/A,FALSE,"EX - CONS THAI";#N/A,#N/A,FALSE,"EX-GTS";#N/A,#N/A,FALSE,"EX-CCNR"}</definedName>
    <definedName name="___TDS1" hidden="1">{"Total_December",#N/A,FALSE,"Summary"}</definedName>
    <definedName name="__123Graph_A" hidden="1">[1]Accounts!#REF!</definedName>
    <definedName name="__123Graph_B" hidden="1">[1]Accounts!#REF!</definedName>
    <definedName name="__123Graph_X" hidden="1">[1]Accounts!#REF!</definedName>
    <definedName name="__cbc1" hidden="1">{#N/A,#N/A,FALSE,"EX-ISEWA -ccnr";#N/A,#N/A,FALSE,"EX - THAI";#N/A,#N/A,FALSE,"EX - INDIA";#N/A,#N/A,FALSE,"EX - MAL";#N/A,#N/A,FALSE,"EX - SWA";#N/A,#N/A,FALSE,"EX - INDO";#N/A,#N/A,FALSE,"EX - DIV";#N/A,#N/A,FALSE,"EX - CONS THAI";#N/A,#N/A,FALSE,"EX-GTS";#N/A,#N/A,FALSE,"EX-CCNR"}</definedName>
    <definedName name="__IntlFixup" hidden="1">TRUE</definedName>
    <definedName name="__TDS1" hidden="1">{"Total_December",#N/A,FALSE,"Summary"}</definedName>
    <definedName name="_cbc1" hidden="1">{#N/A,#N/A,FALSE,"EX-ISEWA -ccnr";#N/A,#N/A,FALSE,"EX - THAI";#N/A,#N/A,FALSE,"EX - INDIA";#N/A,#N/A,FALSE,"EX - MAL";#N/A,#N/A,FALSE,"EX - SWA";#N/A,#N/A,FALSE,"EX - INDO";#N/A,#N/A,FALSE,"EX - DIV";#N/A,#N/A,FALSE,"EX - CONS THAI";#N/A,#N/A,FALSE,"EX-GTS";#N/A,#N/A,FALSE,"EX-CCNR"}</definedName>
    <definedName name="_Fill" hidden="1">#REF!</definedName>
    <definedName name="_xlnm._FilterDatabase" localSheetId="41" hidden="1">'10.18 to 03.15'!$B$1:$E$58</definedName>
    <definedName name="_xlnm._FilterDatabase" localSheetId="42" hidden="1">'JV 2082.04.01-10.18'!$B$2:$E$142</definedName>
    <definedName name="_xlnm._FilterDatabase" localSheetId="18" hidden="1">'TB update upto 10.18'!$B$3:$P$108</definedName>
    <definedName name="_xlnm._FilterDatabase" hidden="1">#REF!</definedName>
    <definedName name="_Key1" hidden="1">#REF!</definedName>
    <definedName name="_Key2" hidden="1">#REF!</definedName>
    <definedName name="_Order1" hidden="1">255</definedName>
    <definedName name="_Order2" hidden="1">255</definedName>
    <definedName name="_Regression_Int" hidden="1">1</definedName>
    <definedName name="_sc3" hidden="1">{#N/A,#N/A,FALSE,"EX-ISEWA -all";#N/A,#N/A,FALSE,"EX - SEWA";#N/A,#N/A,FALSE,"EX - ISEWAD";#N/A,#N/A,FALSE,"EX - THAI";#N/A,#N/A,FALSE,"EX - INDIA";#N/A,#N/A,FALSE,"EX - MAL";#N/A,#N/A,FALSE,"EX - SWA";#N/A,#N/A,FALSE,"EX - INDO";#N/A,#N/A,FALSE,"EX - DIV";#N/A,#N/A,FALSE,"EX - CONS THAI";#N/A,#N/A,FALSE,"EX-GTS";#N/A,#N/A,FALSE,"EX-CCNR"}</definedName>
    <definedName name="_Sort" hidden="1">#REF!</definedName>
    <definedName name="_TDS1" hidden="1">{"Total_December",#N/A,FALSE,"Summary"}</definedName>
    <definedName name="_vat" hidden="1">{"Bsheet",#N/A,FALSE,"Bsheet";"P&amp;L",#N/A,FALSE,"Bsheet";"Trading",#N/A,FALSE,"Bsheet";"Schedule",#N/A,FALSE,"Bsheet";"Details",#N/A,FALSE,"Bsheet";"AnnexureII",#N/A,FALSE,"Bsheet"}</definedName>
    <definedName name="aaa" hidden="1">{#N/A,#N/A,FALSE,"ISEWAD";#N/A,#N/A,FALSE,"THAI";#N/A,#N/A,FALSE,"INDIA";#N/A,#N/A,FALSE,"MAL";#N/A,#N/A,FALSE,"SWA";#N/A,#N/A,FALSE,"INDO"}</definedName>
    <definedName name="aaa_set" hidden="1">{"Bsheet",#N/A,FALSE,"Bsheet";"Schedule",#N/A,FALSE,"Bsheet";"Notes",#N/A,FALSE,"Bsheet";"Abstract",#N/A,FALSE,"Bsheet";"Details",#N/A,FALSE,"Bsheet";"Stores",#N/A,FALSE,"Bsheet";"Stocks",#N/A,FALSE,"Bsheet";"Computation",#N/A,FALSE,"Bsheet";"Losses",#N/A,FALSE,"Losses"}</definedName>
    <definedName name="aaaa" hidden="1">{"'Tracking'!$A$1:$Z$493"}</definedName>
    <definedName name="aaaaaaaa" hidden="1">{"Computation Tax",#N/A,FALSE,"43B";"Dep I.Tax",#N/A,FALSE,"43B";"I Tax Losses",#N/A,FALSE,"43B";"Annex-III 3CD",#N/A,FALSE,"43B";"Cash Payments",#N/A,FALSE,"43B";"43B",#N/A,FALSE,"43B"}</definedName>
    <definedName name="aaaadaqda" hidden="1">{"Computation Tax",#N/A,FALSE,"43B";"Dep I.Tax",#N/A,FALSE,"43B";"I Tax Losses",#N/A,FALSE,"43B";"Annex-III 3CD",#N/A,FALSE,"43B";"Cash Payments",#N/A,FALSE,"43B";"43B",#N/A,FALSE,"43B"}</definedName>
    <definedName name="aas" hidden="1">{"Balance Sheet",#N/A,FALSE,"bsheet";"Assets Schedule",#N/A,FALSE,"bsheet";"Notes",#N/A,FALSE,"bsheet";"Abstract",#N/A,FALSE,"bsheet";"Cash Flow",#N/A,FALSE,"bsheet";"groupings",#N/A,FALSE,"bsheet";"Stocks",#N/A,FALSE,"bsheet";"Trial",#N/A,FALSE,"bsheet"}</definedName>
    <definedName name="aasx" hidden="1">{"Computation Tax",#N/A,FALSE,"43B";"Dep I.Tax",#N/A,FALSE,"43B";"I Tax Losses",#N/A,FALSE,"43B";"Annex-III 3CD",#N/A,FALSE,"43B";"Cash Payments",#N/A,FALSE,"43B";"43B",#N/A,FALSE,"43B"}</definedName>
    <definedName name="abc" hidden="1">'[2]#REF'!#REF!</definedName>
    <definedName name="abc.expense" hidden="1">{#N/A,#N/A,FALSE,"Consolidated (2)"}</definedName>
    <definedName name="abc.expenses." hidden="1">{#N/A,#N/A,FALSE,"Consolidated (2)"}</definedName>
    <definedName name="ABCD" hidden="1">{"'Tracking'!$A$1:$Z$493"}</definedName>
    <definedName name="abcds" hidden="1">[1]Accounts!#REF!</definedName>
    <definedName name="AccessDatabase" hidden="1">"\\C4\d\Job costing 02-03\Job costing 02-03\IM\Proposed Mould Costing.mdb"</definedName>
    <definedName name="ADAD" hidden="1">{"Balance Sheet",#N/A,FALSE,"Balsheet";"Assets Schedule",#N/A,FALSE,"Balsheet";"Abstract",#N/A,FALSE,"Balsheet"}</definedName>
    <definedName name="adada" hidden="1">{"Computation Tax",#N/A,FALSE,"43B";"Dep I.Tax",#N/A,FALSE,"43B";"I Tax Losses",#N/A,FALSE,"43B";"Annex-III 3CD",#N/A,FALSE,"43B";"Cash Payments",#N/A,FALSE,"43B";"43B",#N/A,FALSE,"43B"}</definedName>
    <definedName name="adasd" hidden="1">{"Computation Tax",#N/A,FALSE,"43B";"Dep I.Tax",#N/A,FALSE,"43B";"I Tax Losses",#N/A,FALSE,"43B";"Annex-III 3CD",#N/A,FALSE,"43B";"Cash Payments",#N/A,FALSE,"43B";"43B",#N/A,FALSE,"43B"}</definedName>
    <definedName name="ADASDA" hidden="1">{"Balance Sheet",#N/A,FALSE,"bsheet";"Assets Schedule",#N/A,FALSE,"bsheet";"Notes",#N/A,FALSE,"bsheet";"Abstract",#N/A,FALSE,"bsheet";"Cash Flow",#N/A,FALSE,"bsheet";"groupings",#N/A,FALSE,"bsheet";"Stocks",#N/A,FALSE,"bsheet";"Trial",#N/A,FALSE,"bsheet"}</definedName>
    <definedName name="adasdfaf" hidden="1">{"Balance Sheet",#N/A,FALSE,"bsheet";"Assets Schedule",#N/A,FALSE,"bsheet";"Notes",#N/A,FALSE,"bsheet";"Abstract",#N/A,FALSE,"bsheet";"Cash Flow",#N/A,FALSE,"bsheet";"groupings",#N/A,FALSE,"bsheet";"Stocks",#N/A,FALSE,"bsheet";"Trial",#N/A,FALSE,"bsheet"}</definedName>
    <definedName name="adfd" hidden="1">[1]Accounts!#REF!</definedName>
    <definedName name="ads" hidden="1">{#N/A,#N/A,FALSE,"EX-ISEWA -all";#N/A,#N/A,FALSE,"EX - SEWA";#N/A,#N/A,FALSE,"EX - ISEWAD";#N/A,#N/A,FALSE,"EX - THAI";#N/A,#N/A,FALSE,"EX - INDIA";#N/A,#N/A,FALSE,"EX - MAL";#N/A,#N/A,FALSE,"EX - SWA";#N/A,#N/A,FALSE,"EX - INDO";#N/A,#N/A,FALSE,"EX - DIV";#N/A,#N/A,FALSE,"EX - CONS THAI";#N/A,#N/A,FALSE,"EX-GTS";#N/A,#N/A,FALSE,"EX-CCNR"}</definedName>
    <definedName name="adsa" hidden="1">{"Balance Sheet",#N/A,FALSE,"Balsheet";"Assets Schedule",#N/A,FALSE,"Balsheet";"Abstract",#N/A,FALSE,"Balsheet"}</definedName>
    <definedName name="AFDAS" hidden="1">{"Balance Sheet",#N/A,FALSE,"bsheet";"Assets Schedule",#N/A,FALSE,"bsheet";"Notes",#N/A,FALSE,"bsheet";"Abstract",#N/A,FALSE,"bsheet";"Cash Flow",#N/A,FALSE,"bsheet";"groupings",#N/A,FALSE,"bsheet";"Stocks",#N/A,FALSE,"bsheet";"Trial",#N/A,FALSE,"bsheet"}</definedName>
    <definedName name="afsadas" hidden="1">{#N/A,#N/A,FALSE,"ISEWAD";#N/A,#N/A,FALSE,"THAI";#N/A,#N/A,FALSE,"INDIA";#N/A,#N/A,FALSE,"MAL";#N/A,#N/A,FALSE,"SWA";#N/A,#N/A,FALSE,"INDO"}</definedName>
    <definedName name="amit" hidden="1">{"Balance Sheet",#N/A,FALSE,"Balsheet";"Assets Schedule",#N/A,FALSE,"Balsheet";"Abstract",#N/A,FALSE,"Balsheet"}</definedName>
    <definedName name="anscount" hidden="1">1</definedName>
    <definedName name="AS2DocOpenMode" hidden="1">"AS2DocumentEdit"</definedName>
    <definedName name="aSAD" hidden="1">{"Bsheet",#N/A,FALSE,"Bsheet";"P&amp;L",#N/A,FALSE,"Bsheet";"Trading",#N/A,FALSE,"Bsheet";"Schedule",#N/A,FALSE,"Bsheet";"Details",#N/A,FALSE,"Bsheet";"AnnexureII",#N/A,FALSE,"Bsheet"}</definedName>
    <definedName name="asda" hidden="1">{#N/A,#N/A,FALSE,"ISEWAD";#N/A,#N/A,FALSE,"THAI";#N/A,#N/A,FALSE,"INDIA";#N/A,#N/A,FALSE,"MAL";#N/A,#N/A,FALSE,"SWA";#N/A,#N/A,FALSE,"INDO"}</definedName>
    <definedName name="asdadsd" hidden="1">{#N/A,#N/A,FALSE,"EX-ISEWA -all";#N/A,#N/A,FALSE,"EX - SEWA";#N/A,#N/A,FALSE,"EX - ISEWAD";#N/A,#N/A,FALSE,"EX - THAI";#N/A,#N/A,FALSE,"EX - INDIA";#N/A,#N/A,FALSE,"EX - MAL";#N/A,#N/A,FALSE,"EX - SWA";#N/A,#N/A,FALSE,"EX - INDO";#N/A,#N/A,FALSE,"EX - DIV";#N/A,#N/A,FALSE,"EX - CONS THAI";#N/A,#N/A,FALSE,"EX-GTS";#N/A,#N/A,FALSE,"EX-CCNR"}</definedName>
    <definedName name="asdasd" hidden="1">{"Balance Sheet",#N/A,FALSE,"Balsheet";"Assets Schedule",#N/A,FALSE,"Balsheet";"Abstract",#N/A,FALSE,"Balsheet"}</definedName>
    <definedName name="asdDA" hidden="1">{#N/A,#N/A,FALSE,"K-ISEWA-all";#N/A,#N/A,FALSE,"K-SEWA";#N/A,#N/A,FALSE,"K-ISEWA";#N/A,#N/A,FALSE,"K-THAI";#N/A,#N/A,FALSE,"K-INDIA";#N/A,#N/A,FALSE,"K-MAL";#N/A,#N/A,FALSE,"K-SWA";#N/A,#N/A,FALSE,"K-INDO";#N/A,#N/A,FALSE,"K-DIV";#N/A,#N/A,FALSE,"K-CONS.THAI";#N/A,#N/A,FALSE,"K-GTS";#N/A,#N/A,FALSE,"K-CCNR"}</definedName>
    <definedName name="ASDED" hidden="1">{"'Tracking'!$A$1:$Z$493"}</definedName>
    <definedName name="asdf" hidden="1">{"'Tracking'!$A$1:$Z$493"}</definedName>
    <definedName name="ASDFA" hidden="1">{"Bsheet",#N/A,FALSE,"Bsheet";"Schedule",#N/A,FALSE,"Bsheet";"Notes",#N/A,FALSE,"Bsheet";"Abstract",#N/A,FALSE,"Bsheet";"Details",#N/A,FALSE,"Bsheet";"Stores",#N/A,FALSE,"Bsheet";"Stocks",#N/A,FALSE,"Bsheet";"Computation",#N/A,FALSE,"Bsheet";"Losses",#N/A,FALSE,"Losses"}</definedName>
    <definedName name="asdfasdf" hidden="1">{#N/A,#N/A,FALSE,"EX-ISEWA -all";#N/A,#N/A,FALSE,"EX - SEWA";#N/A,#N/A,FALSE,"EX - ISEWAD";#N/A,#N/A,FALSE,"EX - THAI";#N/A,#N/A,FALSE,"EX - INDIA";#N/A,#N/A,FALSE,"EX - MAL";#N/A,#N/A,FALSE,"EX - SWA";#N/A,#N/A,FALSE,"EX - INDO";#N/A,#N/A,FALSE,"EX - DIV";#N/A,#N/A,FALSE,"EX - CONS THAI";#N/A,#N/A,FALSE,"EX-GTS";#N/A,#N/A,FALSE,"EX-CCNR"}</definedName>
    <definedName name="asdfasdfas" hidden="1">{#N/A,#N/A,FALSE,"EX-ISEWA -all";#N/A,#N/A,FALSE,"EX - SEWA";#N/A,#N/A,FALSE,"EX - ISEWAD";#N/A,#N/A,FALSE,"EX - THAI";#N/A,#N/A,FALSE,"EX - INDIA";#N/A,#N/A,FALSE,"EX - MAL";#N/A,#N/A,FALSE,"EX - SWA";#N/A,#N/A,FALSE,"EX - INDO";#N/A,#N/A,FALSE,"EX - DIV";#N/A,#N/A,FALSE,"EX - CONS THAI";#N/A,#N/A,FALSE,"EX-GTS";#N/A,#N/A,FALSE,"EX-CCNR"}</definedName>
    <definedName name="asdfasf" hidden="1">{#N/A,#N/A,FALSE,"ISEWA-ccnr";#N/A,#N/A,FALSE,"THAI";#N/A,#N/A,FALSE,"INDIA";#N/A,#N/A,FALSE,"CON.SING";#N/A,#N/A,FALSE,"MAL";#N/A,#N/A,FALSE,"CCNR";#N/A,#N/A,FALSE,"SWA";#N/A,#N/A,FALSE,"INDO";#N/A,#N/A,FALSE,"DIV";#N/A,#N/A,FALSE,"CONS.THAI";#N/A,#N/A,FALSE,"TPDL";#N/A,#N/A,FALSE,"FNCC";#N/A,#N/A,FALSE,"GTS"}</definedName>
    <definedName name="asdfsadfsdf" hidden="1">{"'Tracking'!$A$1:$Z$493"}</definedName>
    <definedName name="asdfsaf" hidden="1">{#N/A,#N/A,FALSE,"ISEWAD";#N/A,#N/A,FALSE,"THAI";#N/A,#N/A,FALSE,"INDIA";#N/A,#N/A,FALSE,"MAL";#N/A,#N/A,FALSE,"SWA";#N/A,#N/A,FALSE,"INDO"}</definedName>
    <definedName name="ASF" hidden="1">{"Computation Tax",#N/A,FALSE,"43B";"Dep I.Tax",#N/A,FALSE,"43B";"I Tax Losses",#N/A,FALSE,"43B";"Annex-III 3CD",#N/A,FALSE,"43B";"Cash Payments",#N/A,FALSE,"43B";"43B",#N/A,FALSE,"43B"}</definedName>
    <definedName name="asfasdf" hidden="1">{#N/A,#N/A,FALSE,"EX-ISEWA -all";#N/A,#N/A,FALSE,"EX - SEWA";#N/A,#N/A,FALSE,"EX - ISEWAD";#N/A,#N/A,FALSE,"EX - THAI";#N/A,#N/A,FALSE,"EX - INDIA";#N/A,#N/A,FALSE,"EX - MAL";#N/A,#N/A,FALSE,"EX - SWA";#N/A,#N/A,FALSE,"EX - INDO";#N/A,#N/A,FALSE,"EX - DIV";#N/A,#N/A,FALSE,"EX - CONS THAI";#N/A,#N/A,FALSE,"EX-GTS";#N/A,#N/A,FALSE,"EX-CCNR"}</definedName>
    <definedName name="asfdfa" hidden="1">{#N/A,#N/A,FALSE,"ISEWAD";#N/A,#N/A,FALSE,"THAI";#N/A,#N/A,FALSE,"INDIA";#N/A,#N/A,FALSE,"MAL";#N/A,#N/A,FALSE,"SWA";#N/A,#N/A,FALSE,"INDO"}</definedName>
    <definedName name="asfdsafd" hidden="1">{"'Tracking'!$A$1:$Z$493"}</definedName>
    <definedName name="August" hidden="1">{"'Tracking'!$A$1:$Z$493"}</definedName>
    <definedName name="bbbb" hidden="1">{"Computation Tax",#N/A,FALSE,"43B";"Dep I.Tax",#N/A,FALSE,"43B";"I Tax Losses",#N/A,FALSE,"43B";"Annex-III 3CD",#N/A,FALSE,"43B";"Cash Payments",#N/A,FALSE,"43B";"43B",#N/A,FALSE,"43B"}</definedName>
    <definedName name="Bikram" hidden="1">{#N/A,#N/A,FALSE,"K-ISEWA-all";#N/A,#N/A,FALSE,"K-SEWA";#N/A,#N/A,FALSE,"K-ISEWA";#N/A,#N/A,FALSE,"K-THAI";#N/A,#N/A,FALSE,"K-INDIA";#N/A,#N/A,FALSE,"K-MAL";#N/A,#N/A,FALSE,"K-SWA";#N/A,#N/A,FALSE,"K-INDO";#N/A,#N/A,FALSE,"K-DIV";#N/A,#N/A,FALSE,"K-CONS.THAI";#N/A,#N/A,FALSE,"K-GTS";#N/A,#N/A,FALSE,"K-CCNR"}</definedName>
    <definedName name="BKC" hidden="1">{#N/A,#N/A,FALSE,"K-ISEWA-all";#N/A,#N/A,FALSE,"K-SEWA";#N/A,#N/A,FALSE,"K-ISEWA";#N/A,#N/A,FALSE,"K-THAI";#N/A,#N/A,FALSE,"K-INDIA";#N/A,#N/A,FALSE,"K-MAL";#N/A,#N/A,FALSE,"K-SWA";#N/A,#N/A,FALSE,"K-INDO";#N/A,#N/A,FALSE,"K-DIV";#N/A,#N/A,FALSE,"K-CONS.THAI";#N/A,#N/A,FALSE,"K-GTS";#N/A,#N/A,FALSE,"K-CCNR"}</definedName>
    <definedName name="bnbv" hidden="1">{#N/A,#N/A,FALSE,"ISEWAD";#N/A,#N/A,FALSE,"THAI";#N/A,#N/A,FALSE,"INDIA";#N/A,#N/A,FALSE,"MAL";#N/A,#N/A,FALSE,"SWA";#N/A,#N/A,FALSE,"INDO"}</definedName>
    <definedName name="bnbvc" hidden="1">{#N/A,#N/A,FALSE,"ISEWAD";#N/A,#N/A,FALSE,"THAI";#N/A,#N/A,FALSE,"INDIA";#N/A,#N/A,FALSE,"MAL";#N/A,#N/A,FALSE,"SWA";#N/A,#N/A,FALSE,"INDO"}</definedName>
    <definedName name="CBWorkbookPriority" hidden="1">-254708120</definedName>
    <definedName name="cfd" hidden="1">{#N/A,#N/A,FALSE,"ISEWAD";#N/A,#N/A,FALSE,"THAI";#N/A,#N/A,FALSE,"INDIA";#N/A,#N/A,FALSE,"MAL";#N/A,#N/A,FALSE,"SWA";#N/A,#N/A,FALSE,"INDO"}</definedName>
    <definedName name="chemical" hidden="1">{#N/A,#N/A,FALSE,"EX-ISEWA -all";#N/A,#N/A,FALSE,"EX - SEWA";#N/A,#N/A,FALSE,"EX - ISEWAD";#N/A,#N/A,FALSE,"EX - THAI";#N/A,#N/A,FALSE,"EX - INDIA";#N/A,#N/A,FALSE,"EX - MAL";#N/A,#N/A,FALSE,"EX - SWA";#N/A,#N/A,FALSE,"EX - INDO";#N/A,#N/A,FALSE,"EX - DIV";#N/A,#N/A,FALSE,"EX - CONS THAI";#N/A,#N/A,FALSE,"EX-GTS";#N/A,#N/A,FALSE,"EX-CCNR"}</definedName>
    <definedName name="Closing" hidden="1">{#N/A,#N/A,FALSE,"ISEWAD";#N/A,#N/A,FALSE,"THAI";#N/A,#N/A,FALSE,"INDIA";#N/A,#N/A,FALSE,"MAL";#N/A,#N/A,FALSE,"SWA";#N/A,#N/A,FALSE,"INDO"}</definedName>
    <definedName name="Code" hidden="1">#REF!</definedName>
    <definedName name="csxs" hidden="1">{#N/A,#N/A,FALSE,"EX-ISEWA -all";#N/A,#N/A,FALSE,"EX - SEWA";#N/A,#N/A,FALSE,"EX - ISEWAD";#N/A,#N/A,FALSE,"EX - THAI";#N/A,#N/A,FALSE,"EX - INDIA";#N/A,#N/A,FALSE,"EX - MAL";#N/A,#N/A,FALSE,"EX - SWA";#N/A,#N/A,FALSE,"EX - INDO";#N/A,#N/A,FALSE,"EX - DIV";#N/A,#N/A,FALSE,"EX - CONS THAI";#N/A,#N/A,FALSE,"EX-GTS";#N/A,#N/A,FALSE,"EX-CCNR"}</definedName>
    <definedName name="d" hidden="1">#REF!</definedName>
    <definedName name="daa" hidden="1">{"Bsheet",#N/A,FALSE,"Bsheet";"P&amp;L",#N/A,FALSE,"Bsheet";"Trading",#N/A,FALSE,"Bsheet";"Schedule",#N/A,FALSE,"Bsheet";"Details",#N/A,FALSE,"Bsheet";"AnnexureII",#N/A,FALSE,"Bsheet"}</definedName>
    <definedName name="dad" hidden="1">{"Bsheet",#N/A,FALSE,"Bsheet";"Schedule",#N/A,FALSE,"Bsheet";"Notes",#N/A,FALSE,"Bsheet";"Abstract",#N/A,FALSE,"Bsheet";"Details",#N/A,FALSE,"Bsheet";"Stores",#N/A,FALSE,"Bsheet";"Stocks",#N/A,FALSE,"Bsheet";"Computation",#N/A,FALSE,"Bsheet";"Losses",#N/A,FALSE,"Losses"}</definedName>
    <definedName name="dadad" hidden="1">{"Bsheet",#N/A,FALSE,"Bsheet";"P&amp;L",#N/A,FALSE,"Bsheet";"Trading",#N/A,FALSE,"Bsheet";"Schedule",#N/A,FALSE,"Bsheet";"Details",#N/A,FALSE,"Bsheet";"AnnexureII",#N/A,FALSE,"Bsheet"}</definedName>
    <definedName name="DASD" hidden="1">{"Computation Tax",#N/A,FALSE,"43B";"Dep I.Tax",#N/A,FALSE,"43B";"I Tax Losses",#N/A,FALSE,"43B";"Annex-III 3CD",#N/A,FALSE,"43B";"Cash Payments",#N/A,FALSE,"43B";"43B",#N/A,FALSE,"43B"}</definedName>
    <definedName name="DASDA" hidden="1">{"Bsheet",#N/A,FALSE,"Bsheet";"Schedule",#N/A,FALSE,"Bsheet";"Notes",#N/A,FALSE,"Bsheet";"Abstract",#N/A,FALSE,"Bsheet";"Details",#N/A,FALSE,"Bsheet";"Stores",#N/A,FALSE,"Bsheet";"Stocks",#N/A,FALSE,"Bsheet";"Computation",#N/A,FALSE,"Bsheet";"Losses",#N/A,FALSE,"Losses"}</definedName>
    <definedName name="dasdas" hidden="1">{"Balance Sheet",#N/A,FALSE,"bsheet";"Assets Schedule",#N/A,FALSE,"bsheet";"Notes",#N/A,FALSE,"bsheet";"Abstract",#N/A,FALSE,"bsheet";"Cash Flow",#N/A,FALSE,"bsheet";"groupings",#N/A,FALSE,"bsheet";"Stocks",#N/A,FALSE,"bsheet";"Trial",#N/A,FALSE,"bsheet"}</definedName>
    <definedName name="data1" hidden="1">#REF!</definedName>
    <definedName name="data2" hidden="1">#REF!</definedName>
    <definedName name="data3" hidden="1">#REF!</definedName>
    <definedName name="dd" hidden="1">{#N/A,#N/A,FALSE,"ISEWAD";#N/A,#N/A,FALSE,"THAI";#N/A,#N/A,FALSE,"INDIA";#N/A,#N/A,FALSE,"MAL";#N/A,#N/A,FALSE,"SWA";#N/A,#N/A,FALSE,"INDO"}</definedName>
    <definedName name="ddasfd" hidden="1">{#N/A,#N/A,FALSE,"EX-ISEWA -all";#N/A,#N/A,FALSE,"EX - SEWA";#N/A,#N/A,FALSE,"EX - ISEWAD";#N/A,#N/A,FALSE,"EX - THAI";#N/A,#N/A,FALSE,"EX - INDIA";#N/A,#N/A,FALSE,"EX - MAL";#N/A,#N/A,FALSE,"EX - SWA";#N/A,#N/A,FALSE,"EX - INDO";#N/A,#N/A,FALSE,"EX - DIV";#N/A,#N/A,FALSE,"EX - CONS THAI";#N/A,#N/A,FALSE,"EX-GTS";#N/A,#N/A,FALSE,"EX-CCNR"}</definedName>
    <definedName name="ddd" hidden="1">{#N/A,#N/A,FALSE,"B-ISEWA";#N/A,#N/A,FALSE,"B-THAI";#N/A,#N/A,FALSE,"B-INDIA";#N/A,#N/A,FALSE,"B-CON-SING";#N/A,#N/A,FALSE,"B-MALSIN";#N/A,#N/A,FALSE,"B-SING";#N/A,#N/A,FALSE,"B-MAL";#N/A,#N/A,FALSE,"B-CCNR";#N/A,#N/A,FALSE,"B-SWA";#N/A,#N/A,FALSE,"B-INDO";#N/A,#N/A,FALSE,"B-VN"}</definedName>
    <definedName name="depn" hidden="1">{"Bsheet",#N/A,FALSE,"Bsheet";"P&amp;L",#N/A,FALSE,"Bsheet";"Trading",#N/A,FALSE,"Bsheet";"Schedule",#N/A,FALSE,"Bsheet";"Details",#N/A,FALSE,"Bsheet";"AnnexureII",#N/A,FALSE,"Bsheet"}</definedName>
    <definedName name="dfadf" hidden="1">[1]Accounts!#REF!</definedName>
    <definedName name="dfasd" hidden="1">{"Bsheet",#N/A,FALSE,"Bsheet";"P&amp;L",#N/A,FALSE,"Bsheet";"Trading",#N/A,FALSE,"Bsheet";"Schedule",#N/A,FALSE,"Bsheet";"Details",#N/A,FALSE,"Bsheet";"AnnexureII",#N/A,FALSE,"Bsheet"}</definedName>
    <definedName name="DFDSFDSDFS" hidden="1">{#N/A,#N/A,FALSE,"ISEWAD";#N/A,#N/A,FALSE,"THAI";#N/A,#N/A,FALSE,"INDIA";#N/A,#N/A,FALSE,"MAL";#N/A,#N/A,FALSE,"SWA";#N/A,#N/A,FALSE,"INDO"}</definedName>
    <definedName name="dfgdgdfg" hidden="1">{"'Tracking'!$A$1:$Z$493"}</definedName>
    <definedName name="dfhdfhhg" hidden="1">{#N/A,#N/A,FALSE,"ISEWA-ccnr";#N/A,#N/A,FALSE,"THAI";#N/A,#N/A,FALSE,"INDIA";#N/A,#N/A,FALSE,"CON.SING";#N/A,#N/A,FALSE,"MAL";#N/A,#N/A,FALSE,"CCNR";#N/A,#N/A,FALSE,"SWA";#N/A,#N/A,FALSE,"INDO";#N/A,#N/A,FALSE,"DIV";#N/A,#N/A,FALSE,"CONS.THAI";#N/A,#N/A,FALSE,"TPDL";#N/A,#N/A,FALSE,"FNCC";#N/A,#N/A,FALSE,"GTS"}</definedName>
    <definedName name="dfhgdhdhfgfsdh" hidden="1">{#N/A,#N/A,FALSE,"K-THAI";#N/A,#N/A,FALSE,"K-ISEWA-ccnr";#N/A,#N/A,FALSE,"K-INDIA";#N/A,#N/A,FALSE,"K-MAL";#N/A,#N/A,FALSE,"K-SWA";#N/A,#N/A,FALSE,"K-INDO";#N/A,#N/A,FALSE,"K-DIV";#N/A,#N/A,FALSE,"K-TPDL";#N/A,#N/A,FALSE,"K-CONS.THAI";#N/A,#N/A,FALSE,"K-FNCC";#N/A,#N/A,FALSE,"K-GTS"}</definedName>
    <definedName name="dfsfdsd" hidden="1">{#N/A,#N/A,FALSE,"ISEWA-ccnr";#N/A,#N/A,FALSE,"THAI";#N/A,#N/A,FALSE,"INDIA";#N/A,#N/A,FALSE,"CON.SING";#N/A,#N/A,FALSE,"MAL";#N/A,#N/A,FALSE,"CCNR";#N/A,#N/A,FALSE,"SWA";#N/A,#N/A,FALSE,"INDO";#N/A,#N/A,FALSE,"DIV";#N/A,#N/A,FALSE,"CONS.THAI";#N/A,#N/A,FALSE,"TPDL";#N/A,#N/A,FALSE,"FNCC";#N/A,#N/A,FALSE,"GTS"}</definedName>
    <definedName name="DGDFGDF" hidden="1">{#N/A,#N/A,FALSE,"ISEWAD";#N/A,#N/A,FALSE,"THAI";#N/A,#N/A,FALSE,"INDIA";#N/A,#N/A,FALSE,"MAL";#N/A,#N/A,FALSE,"SWA";#N/A,#N/A,FALSE,"INDO"}</definedName>
    <definedName name="dgfsgdsfg" hidden="1">{#N/A,#N/A,FALSE,"EX-ISEWA -all";#N/A,#N/A,FALSE,"EX - SEWA";#N/A,#N/A,FALSE,"EX - ISEWAD";#N/A,#N/A,FALSE,"EX - THAI";#N/A,#N/A,FALSE,"EX - INDIA";#N/A,#N/A,FALSE,"EX - MAL";#N/A,#N/A,FALSE,"EX - SWA";#N/A,#N/A,FALSE,"EX - INDO";#N/A,#N/A,FALSE,"EX - DIV";#N/A,#N/A,FALSE,"EX - CONS THAI";#N/A,#N/A,FALSE,"EX-GTS";#N/A,#N/A,FALSE,"EX-CCNR"}</definedName>
    <definedName name="Discount" hidden="1">#REF!</definedName>
    <definedName name="display_area_2" hidden="1">#REF!</definedName>
    <definedName name="drp" hidden="1">#REF!</definedName>
    <definedName name="dsaDA" hidden="1">{#N/A,#N/A,FALSE,"ISEWAD";#N/A,#N/A,FALSE,"THAI";#N/A,#N/A,FALSE,"INDIA";#N/A,#N/A,FALSE,"MAL";#N/A,#N/A,FALSE,"SWA";#N/A,#N/A,FALSE,"INDO"}</definedName>
    <definedName name="dsf" hidden="1">{#N/A,#N/A,FALSE,"ISEWAD";#N/A,#N/A,FALSE,"THAI";#N/A,#N/A,FALSE,"INDIA";#N/A,#N/A,FALSE,"MAL";#N/A,#N/A,FALSE,"SWA";#N/A,#N/A,FALSE,"INDO"}</definedName>
    <definedName name="dsfsdfsd" hidden="1">{#N/A,#N/A,FALSE,"ISEWAD";#N/A,#N/A,FALSE,"THAI";#N/A,#N/A,FALSE,"INDIA";#N/A,#N/A,FALSE,"MAL";#N/A,#N/A,FALSE,"SWA";#N/A,#N/A,FALSE,"INDO"}</definedName>
    <definedName name="dsvvffevg" hidden="1">{"'Tracking'!$A$1:$Z$493"}</definedName>
    <definedName name="dzasdasdasd" hidden="1">{#N/A,#N/A,FALSE,"ISEWAD";#N/A,#N/A,FALSE,"THAI";#N/A,#N/A,FALSE,"INDIA";#N/A,#N/A,FALSE,"MAL";#N/A,#N/A,FALSE,"SWA";#N/A,#N/A,FALSE,"INDO"}</definedName>
    <definedName name="e4ayt" hidden="1">{"Balance Sheet",#N/A,FALSE,"bsheet";"Assets Schedule",#N/A,FALSE,"bsheet";"Notes",#N/A,FALSE,"bsheet";"Abstract",#N/A,FALSE,"bsheet";"Cash Flow",#N/A,FALSE,"bsheet";"groupings",#N/A,FALSE,"bsheet";"Stocks",#N/A,FALSE,"bsheet";"Trial",#N/A,FALSE,"bsheet"}</definedName>
    <definedName name="edf" hidden="1">{#N/A,#N/A,FALSE,"ISEWAD";#N/A,#N/A,FALSE,"THAI";#N/A,#N/A,FALSE,"INDIA";#N/A,#N/A,FALSE,"MAL";#N/A,#N/A,FALSE,"SWA";#N/A,#N/A,FALSE,"INDO"}</definedName>
    <definedName name="eee" hidden="1">{#N/A,#N/A,FALSE,"Consolidated (2)"}</definedName>
    <definedName name="erwtwetr" hidden="1">{"Bsheet",#N/A,FALSE,"Bsheet";"P&amp;L",#N/A,FALSE,"Bsheet";"Trading",#N/A,FALSE,"Bsheet";"Schedule",#N/A,FALSE,"Bsheet";"Details",#N/A,FALSE,"Bsheet";"AnnexureII",#N/A,FALSE,"Bsheet"}</definedName>
    <definedName name="etc" hidden="1">#REF!</definedName>
    <definedName name="EV__LASTREFTIME__" hidden="1">41255.4813541667</definedName>
    <definedName name="ewrw" hidden="1">{#N/A,#N/A,FALSE,"EX-ISEWA -all";#N/A,#N/A,FALSE,"EX - SEWA";#N/A,#N/A,FALSE,"EX - ISEWAD";#N/A,#N/A,FALSE,"EX - THAI";#N/A,#N/A,FALSE,"EX - INDIA";#N/A,#N/A,FALSE,"EX - MAL";#N/A,#N/A,FALSE,"EX - SWA";#N/A,#N/A,FALSE,"EX - INDO";#N/A,#N/A,FALSE,"EX - DIV";#N/A,#N/A,FALSE,"EX - CONS THAI";#N/A,#N/A,FALSE,"EX-GTS";#N/A,#N/A,FALSE,"EX-CCNR"}</definedName>
    <definedName name="f" hidden="1">{#N/A,#N/A,FALSE,"EX-ISEWA -all";#N/A,#N/A,FALSE,"EX - SEWA";#N/A,#N/A,FALSE,"EX - ISEWAD";#N/A,#N/A,FALSE,"EX - THAI";#N/A,#N/A,FALSE,"EX - INDIA";#N/A,#N/A,FALSE,"EX - MAL";#N/A,#N/A,FALSE,"EX - SWA";#N/A,#N/A,FALSE,"EX - INDO";#N/A,#N/A,FALSE,"EX - DIV";#N/A,#N/A,FALSE,"EX - CONS THAI";#N/A,#N/A,FALSE,"EX-GTS";#N/A,#N/A,FALSE,"EX-CCNR"}</definedName>
    <definedName name="fa" hidden="1">{#N/A,#N/A,FALSE,"ISEWAD";#N/A,#N/A,FALSE,"THAI";#N/A,#N/A,FALSE,"INDIA";#N/A,#N/A,FALSE,"MAL";#N/A,#N/A,FALSE,"SWA";#N/A,#N/A,FALSE,"INDO"}</definedName>
    <definedName name="fafafafehg" hidden="1">{#N/A,#N/A,FALSE,"EX-ISEWA -ccnr";#N/A,#N/A,FALSE,"EX - THAI";#N/A,#N/A,FALSE,"EX - INDIA";#N/A,#N/A,FALSE,"EX - MAL";#N/A,#N/A,FALSE,"EX - SWA";#N/A,#N/A,FALSE,"EX - INDO";#N/A,#N/A,FALSE,"EX - DIV";#N/A,#N/A,FALSE,"EX - CONS THAI";#N/A,#N/A,FALSE,"EX-GTS";#N/A,#N/A,FALSE,"EX-CCNR"}</definedName>
    <definedName name="FASDF" hidden="1">{"Balance Sheet",#N/A,FALSE,"bsheet";"Assets Schedule",#N/A,FALSE,"bsheet";"Notes",#N/A,FALSE,"bsheet";"Abstract",#N/A,FALSE,"bsheet";"Cash Flow",#N/A,FALSE,"bsheet";"groupings",#N/A,FALSE,"bsheet";"Stocks",#N/A,FALSE,"bsheet";"Trial",#N/A,FALSE,"bsheet"}</definedName>
    <definedName name="FASF" hidden="1">{"Computation Tax",#N/A,FALSE,"43B";"Dep I.Tax",#N/A,FALSE,"43B";"I Tax Losses",#N/A,FALSE,"43B";"Annex-III 3CD",#N/A,FALSE,"43B";"Cash Payments",#N/A,FALSE,"43B";"43B",#N/A,FALSE,"43B"}</definedName>
    <definedName name="FASFD" hidden="1">{"Bsheet",#N/A,FALSE,"Bsheet";"P&amp;L",#N/A,FALSE,"Bsheet";"Trading",#N/A,FALSE,"Bsheet";"Schedule",#N/A,FALSE,"Bsheet";"Details",#N/A,FALSE,"Bsheet";"AnnexureII",#N/A,FALSE,"Bsheet"}</definedName>
    <definedName name="fasfdsadf" hidden="1">{"Computation Tax",#N/A,FALSE,"43B";"Dep I.Tax",#N/A,FALSE,"43B";"I Tax Losses",#N/A,FALSE,"43B";"Annex-III 3CD",#N/A,FALSE,"43B";"Cash Payments",#N/A,FALSE,"43B";"43B",#N/A,FALSE,"43B"}</definedName>
    <definedName name="FCode" hidden="1">#REF!</definedName>
    <definedName name="fd" hidden="1">{#N/A,#N/A,FALSE,"EX-ISEWA -all";#N/A,#N/A,FALSE,"EX - SEWA";#N/A,#N/A,FALSE,"EX - ISEWAD";#N/A,#N/A,FALSE,"EX - THAI";#N/A,#N/A,FALSE,"EX - INDIA";#N/A,#N/A,FALSE,"EX - MAL";#N/A,#N/A,FALSE,"EX - SWA";#N/A,#N/A,FALSE,"EX - INDO";#N/A,#N/A,FALSE,"EX - DIV";#N/A,#N/A,FALSE,"EX - CONS THAI";#N/A,#N/A,FALSE,"EX-GTS";#N/A,#N/A,FALSE,"EX-CCNR"}</definedName>
    <definedName name="fdede" hidden="1">{#N/A,#N/A,FALSE,"ISEWAD";#N/A,#N/A,FALSE,"THAI";#N/A,#N/A,FALSE,"INDIA";#N/A,#N/A,FALSE,"MAL";#N/A,#N/A,FALSE,"SWA";#N/A,#N/A,FALSE,"INDO"}</definedName>
    <definedName name="fdfss" hidden="1">{#N/A,#N/A,FALSE,"EX-ISEWA -all";#N/A,#N/A,FALSE,"EX - SEWA";#N/A,#N/A,FALSE,"EX - ISEWAD";#N/A,#N/A,FALSE,"EX - THAI";#N/A,#N/A,FALSE,"EX - INDIA";#N/A,#N/A,FALSE,"EX - MAL";#N/A,#N/A,FALSE,"EX - SWA";#N/A,#N/A,FALSE,"EX - INDO";#N/A,#N/A,FALSE,"EX - DIV";#N/A,#N/A,FALSE,"EX - CONS THAI";#N/A,#N/A,FALSE,"EX-GTS";#N/A,#N/A,FALSE,"EX-CCNR"}</definedName>
    <definedName name="fdgsf" hidden="1">#REF!</definedName>
    <definedName name="fdhfdgh" hidden="1">{#N/A,#N/A,FALSE,"ISEWAD";#N/A,#N/A,FALSE,"THAI";#N/A,#N/A,FALSE,"INDIA";#N/A,#N/A,FALSE,"MAL";#N/A,#N/A,FALSE,"SWA";#N/A,#N/A,FALSE,"INDO"}</definedName>
    <definedName name="fds" hidden="1">{#N/A,#N/A,FALSE,"ISEWAD";#N/A,#N/A,FALSE,"THAI";#N/A,#N/A,FALSE,"INDIA";#N/A,#N/A,FALSE,"MAL";#N/A,#N/A,FALSE,"SWA";#N/A,#N/A,FALSE,"INDO"}</definedName>
    <definedName name="fdsdfsd" hidden="1">{#N/A,#N/A,FALSE,"EX-ISEWA -all";#N/A,#N/A,FALSE,"EX - SEWA";#N/A,#N/A,FALSE,"EX - ISEWAD";#N/A,#N/A,FALSE,"EX - THAI";#N/A,#N/A,FALSE,"EX - INDIA";#N/A,#N/A,FALSE,"EX - MAL";#N/A,#N/A,FALSE,"EX - SWA";#N/A,#N/A,FALSE,"EX - INDO";#N/A,#N/A,FALSE,"EX - DIV";#N/A,#N/A,FALSE,"EX - CONS THAI";#N/A,#N/A,FALSE,"EX-GTS";#N/A,#N/A,FALSE,"EX-CCNR"}</definedName>
    <definedName name="fdsegt" hidden="1">{"Bsheet",#N/A,FALSE,"Bsheet";"Schedule",#N/A,FALSE,"Bsheet";"Notes",#N/A,FALSE,"Bsheet";"Abstract",#N/A,FALSE,"Bsheet";"Details",#N/A,FALSE,"Bsheet";"Stores",#N/A,FALSE,"Bsheet";"Stocks",#N/A,FALSE,"Bsheet";"Computation",#N/A,FALSE,"Bsheet";"Losses",#N/A,FALSE,"Losses"}</definedName>
    <definedName name="fdsfdf" hidden="1">{#N/A,#N/A,FALSE,"EX-ISEWA -all";#N/A,#N/A,FALSE,"EX - SEWA";#N/A,#N/A,FALSE,"EX - ISEWAD";#N/A,#N/A,FALSE,"EX - THAI";#N/A,#N/A,FALSE,"EX - INDIA";#N/A,#N/A,FALSE,"EX - MAL";#N/A,#N/A,FALSE,"EX - SWA";#N/A,#N/A,FALSE,"EX - INDO";#N/A,#N/A,FALSE,"EX - DIV";#N/A,#N/A,FALSE,"EX - CONS THAI";#N/A,#N/A,FALSE,"EX-GTS";#N/A,#N/A,FALSE,"EX-CCNR"}</definedName>
    <definedName name="fefe" hidden="1">{#N/A,#N/A,FALSE,"ISEWA-ccnr";#N/A,#N/A,FALSE,"THAI";#N/A,#N/A,FALSE,"INDIA";#N/A,#N/A,FALSE,"CON.SING";#N/A,#N/A,FALSE,"MAL";#N/A,#N/A,FALSE,"CCNR";#N/A,#N/A,FALSE,"SWA";#N/A,#N/A,FALSE,"INDO";#N/A,#N/A,FALSE,"DIV";#N/A,#N/A,FALSE,"CONS.THAI";#N/A,#N/A,FALSE,"TPDL";#N/A,#N/A,FALSE,"FNCC";#N/A,#N/A,FALSE,"GTS"}</definedName>
    <definedName name="fefee" hidden="1">{#N/A,#N/A,FALSE,"K-THAI";#N/A,#N/A,FALSE,"K-ISEWA-ccnr";#N/A,#N/A,FALSE,"K-INDIA";#N/A,#N/A,FALSE,"K-MAL";#N/A,#N/A,FALSE,"K-SWA";#N/A,#N/A,FALSE,"K-INDO";#N/A,#N/A,FALSE,"K-DIV";#N/A,#N/A,FALSE,"K-TPDL";#N/A,#N/A,FALSE,"K-CONS.THAI";#N/A,#N/A,FALSE,"K-FNCC";#N/A,#N/A,FALSE,"K-GTS"}</definedName>
    <definedName name="fefef" hidden="1">{#N/A,#N/A,FALSE,"ISEWA-ccnr";#N/A,#N/A,FALSE,"THAI";#N/A,#N/A,FALSE,"INDIA";#N/A,#N/A,FALSE,"CON.SING";#N/A,#N/A,FALSE,"MAL";#N/A,#N/A,FALSE,"CCNR";#N/A,#N/A,FALSE,"SWA";#N/A,#N/A,FALSE,"INDO";#N/A,#N/A,FALSE,"DIV";#N/A,#N/A,FALSE,"CONS.THAI";#N/A,#N/A,FALSE,"TPDL";#N/A,#N/A,FALSE,"FNCC";#N/A,#N/A,FALSE,"GTS"}</definedName>
    <definedName name="fefrref" hidden="1">{#N/A,#N/A,FALSE,"EX-ISEWA -all";#N/A,#N/A,FALSE,"EX - SEWA";#N/A,#N/A,FALSE,"EX - ISEWAD";#N/A,#N/A,FALSE,"EX - THAI";#N/A,#N/A,FALSE,"EX - INDIA";#N/A,#N/A,FALSE,"EX - MAL";#N/A,#N/A,FALSE,"EX - SWA";#N/A,#N/A,FALSE,"EX - INDO";#N/A,#N/A,FALSE,"EX - DIV";#N/A,#N/A,FALSE,"EX - CONS THAI";#N/A,#N/A,FALSE,"EX-GTS";#N/A,#N/A,FALSE,"EX-CCNR"}</definedName>
    <definedName name="ff" hidden="1">{#N/A,#N/A,FALSE,"ISEWAD";#N/A,#N/A,FALSE,"THAI";#N/A,#N/A,FALSE,"INDIA";#N/A,#N/A,FALSE,"MAL";#N/A,#N/A,FALSE,"SWA";#N/A,#N/A,FALSE,"INDO"}</definedName>
    <definedName name="fgadfas" hidden="1">{"Bsheet",#N/A,FALSE,"Bsheet";"P&amp;L",#N/A,FALSE,"Bsheet";"Trading",#N/A,FALSE,"Bsheet";"Schedule",#N/A,FALSE,"Bsheet";"Details",#N/A,FALSE,"Bsheet";"AnnexureII",#N/A,FALSE,"Bsheet"}</definedName>
    <definedName name="fghdhhd" hidden="1">{#N/A,#N/A,FALSE,"ISEWA-ccnr";#N/A,#N/A,FALSE,"THAI";#N/A,#N/A,FALSE,"INDIA";#N/A,#N/A,FALSE,"CON.SING";#N/A,#N/A,FALSE,"MAL";#N/A,#N/A,FALSE,"CCNR";#N/A,#N/A,FALSE,"SWA";#N/A,#N/A,FALSE,"INDO";#N/A,#N/A,FALSE,"DIV";#N/A,#N/A,FALSE,"CONS.THAI";#N/A,#N/A,FALSE,"TPDL";#N/A,#N/A,FALSE,"FNCC";#N/A,#N/A,FALSE,"GTS"}</definedName>
    <definedName name="fghfgh" hidden="1">{#N/A,#N/A,FALSE,"ISEWAD";#N/A,#N/A,FALSE,"THAI";#N/A,#N/A,FALSE,"INDIA";#N/A,#N/A,FALSE,"MAL";#N/A,#N/A,FALSE,"SWA";#N/A,#N/A,FALSE,"INDO"}</definedName>
    <definedName name="fhdg" hidden="1">{#N/A,#N/A,FALSE,"EX-ISEWA -all";#N/A,#N/A,FALSE,"EX - SEWA";#N/A,#N/A,FALSE,"EX - ISEWAD";#N/A,#N/A,FALSE,"EX - THAI";#N/A,#N/A,FALSE,"EX - INDIA";#N/A,#N/A,FALSE,"EX - MAL";#N/A,#N/A,FALSE,"EX - SWA";#N/A,#N/A,FALSE,"EX - INDO";#N/A,#N/A,FALSE,"EX - DIV";#N/A,#N/A,FALSE,"EX - CONS THAI";#N/A,#N/A,FALSE,"EX-GTS";#N/A,#N/A,FALSE,"EX-CCNR"}</definedName>
    <definedName name="fhfh" hidden="1">{#N/A,#N/A,FALSE,"EX-ISEWA -all";#N/A,#N/A,FALSE,"EX - SEWA";#N/A,#N/A,FALSE,"EX - ISEWAD";#N/A,#N/A,FALSE,"EX - THAI";#N/A,#N/A,FALSE,"EX - INDIA";#N/A,#N/A,FALSE,"EX - MAL";#N/A,#N/A,FALSE,"EX - SWA";#N/A,#N/A,FALSE,"EX - INDO";#N/A,#N/A,FALSE,"EX - DIV";#N/A,#N/A,FALSE,"EX - CONS THAI";#N/A,#N/A,FALSE,"EX-GTS";#N/A,#N/A,FALSE,"EX-CCNR"}</definedName>
    <definedName name="flkjfalskfj" hidden="1">{"'Tracking'!$A$1:$Z$493"}</definedName>
    <definedName name="frefre" hidden="1">{#N/A,#N/A,FALSE,"ISEWAD";#N/A,#N/A,FALSE,"THAI";#N/A,#N/A,FALSE,"INDIA";#N/A,#N/A,FALSE,"MAL";#N/A,#N/A,FALSE,"SWA";#N/A,#N/A,FALSE,"INDO"}</definedName>
    <definedName name="fsfsds" hidden="1">{#N/A,#N/A,FALSE,"ISEWAD";#N/A,#N/A,FALSE,"THAI";#N/A,#N/A,FALSE,"INDIA";#N/A,#N/A,FALSE,"MAL";#N/A,#N/A,FALSE,"SWA";#N/A,#N/A,FALSE,"INDO"}</definedName>
    <definedName name="fss" hidden="1">{#N/A,#N/A,FALSE,"ISEWA-ccnr";#N/A,#N/A,FALSE,"THAI";#N/A,#N/A,FALSE,"INDIA";#N/A,#N/A,FALSE,"CON.SING";#N/A,#N/A,FALSE,"MAL";#N/A,#N/A,FALSE,"CCNR";#N/A,#N/A,FALSE,"SWA";#N/A,#N/A,FALSE,"INDO";#N/A,#N/A,FALSE,"DIV";#N/A,#N/A,FALSE,"CONS.THAI";#N/A,#N/A,FALSE,"TPDL";#N/A,#N/A,FALSE,"FNCC";#N/A,#N/A,FALSE,"GTS"}</definedName>
    <definedName name="ftrgrefg" hidden="1">{#N/A,#N/A,FALSE,"ISEWAD";#N/A,#N/A,FALSE,"THAI";#N/A,#N/A,FALSE,"INDIA";#N/A,#N/A,FALSE,"MAL";#N/A,#N/A,FALSE,"SWA";#N/A,#N/A,FALSE,"INDO"}</definedName>
    <definedName name="gaaehd" hidden="1">{#N/A,#N/A,FALSE,"ISEWA";#N/A,#N/A,FALSE,"THAI";#N/A,#N/A,FALSE,"INDIA";#N/A,#N/A,FALSE,"CON-SING";#N/A,#N/A,FALSE,"MAL-SING";#N/A,#N/A,FALSE,"MAL";#N/A,#N/A,FALSE,"SING";#N/A,#N/A,FALSE,"CCNR";#N/A,#N/A,FALSE,"SWA";#N/A,#N/A,FALSE,"INDO";#N/A,#N/A,FALSE,"VN"}</definedName>
    <definedName name="gdfdd" hidden="1">{#N/A,#N/A,FALSE,"EX-ISEWA -all";#N/A,#N/A,FALSE,"EX - SEWA";#N/A,#N/A,FALSE,"EX - ISEWAD";#N/A,#N/A,FALSE,"EX - THAI";#N/A,#N/A,FALSE,"EX - INDIA";#N/A,#N/A,FALSE,"EX - MAL";#N/A,#N/A,FALSE,"EX - SWA";#N/A,#N/A,FALSE,"EX - INDO";#N/A,#N/A,FALSE,"EX - DIV";#N/A,#N/A,FALSE,"EX - CONS THAI";#N/A,#N/A,FALSE,"EX-GTS";#N/A,#N/A,FALSE,"EX-CCNR"}</definedName>
    <definedName name="GDG" hidden="1">{#N/A,#N/A,FALSE,"EX-ISEWA -all";#N/A,#N/A,FALSE,"EX - SEWA";#N/A,#N/A,FALSE,"EX - ISEWAD";#N/A,#N/A,FALSE,"EX - THAI";#N/A,#N/A,FALSE,"EX - INDIA";#N/A,#N/A,FALSE,"EX - MAL";#N/A,#N/A,FALSE,"EX - SWA";#N/A,#N/A,FALSE,"EX - INDO";#N/A,#N/A,FALSE,"EX - DIV";#N/A,#N/A,FALSE,"EX - CONS THAI";#N/A,#N/A,FALSE,"EX-GTS";#N/A,#N/A,FALSE,"EX-CCNR"}</definedName>
    <definedName name="gdsd" hidden="1">{#N/A,#N/A,FALSE,"ISEWAD";#N/A,#N/A,FALSE,"THAI";#N/A,#N/A,FALSE,"INDIA";#N/A,#N/A,FALSE,"MAL";#N/A,#N/A,FALSE,"SWA";#N/A,#N/A,FALSE,"INDO"}</definedName>
    <definedName name="gdsf" hidden="1">{#N/A,#N/A,FALSE,"ISEWAD";#N/A,#N/A,FALSE,"THAI";#N/A,#N/A,FALSE,"INDIA";#N/A,#N/A,FALSE,"MAL";#N/A,#N/A,FALSE,"SWA";#N/A,#N/A,FALSE,"INDO"}</definedName>
    <definedName name="gdsfg" hidden="1">{#N/A,#N/A,FALSE,"EX-ISEWA -all";#N/A,#N/A,FALSE,"EX - SEWA";#N/A,#N/A,FALSE,"EX - ISEWAD";#N/A,#N/A,FALSE,"EX - THAI";#N/A,#N/A,FALSE,"EX - INDIA";#N/A,#N/A,FALSE,"EX - MAL";#N/A,#N/A,FALSE,"EX - SWA";#N/A,#N/A,FALSE,"EX - INDO";#N/A,#N/A,FALSE,"EX - DIV";#N/A,#N/A,FALSE,"EX - CONS THAI";#N/A,#N/A,FALSE,"EX-GTS";#N/A,#N/A,FALSE,"EX-CCNR"}</definedName>
    <definedName name="gdsfs" hidden="1">{#N/A,#N/A,FALSE,"ISEWAD";#N/A,#N/A,FALSE,"THAI";#N/A,#N/A,FALSE,"INDIA";#N/A,#N/A,FALSE,"MAL";#N/A,#N/A,FALSE,"SWA";#N/A,#N/A,FALSE,"INDO"}</definedName>
    <definedName name="gfdf" hidden="1">{#N/A,#N/A,FALSE,"ISEWAD";#N/A,#N/A,FALSE,"THAI";#N/A,#N/A,FALSE,"INDIA";#N/A,#N/A,FALSE,"MAL";#N/A,#N/A,FALSE,"SWA";#N/A,#N/A,FALSE,"INDO"}</definedName>
    <definedName name="gfgf" hidden="1">{#N/A,#N/A,FALSE,"EX-ISEWA -ccnr";#N/A,#N/A,FALSE,"EX - THAI";#N/A,#N/A,FALSE,"EX - INDIA";#N/A,#N/A,FALSE,"EX - MAL";#N/A,#N/A,FALSE,"EX - SWA";#N/A,#N/A,FALSE,"EX - INDO";#N/A,#N/A,FALSE,"EX - DIV";#N/A,#N/A,FALSE,"EX - CONS THAI";#N/A,#N/A,FALSE,"EX-GTS";#N/A,#N/A,FALSE,"EX-CCNR"}</definedName>
    <definedName name="gg" hidden="1">#REF!</definedName>
    <definedName name="GGDD" hidden="1">{#N/A,#N/A,FALSE,"ISEWAD";#N/A,#N/A,FALSE,"THAI";#N/A,#N/A,FALSE,"INDIA";#N/A,#N/A,FALSE,"MAL";#N/A,#N/A,FALSE,"SWA";#N/A,#N/A,FALSE,"INDO"}</definedName>
    <definedName name="gova" hidden="1">{#N/A,#N/A,FALSE,"EX-ISEWA -all";#N/A,#N/A,FALSE,"EX - SEWA";#N/A,#N/A,FALSE,"EX - ISEWAD";#N/A,#N/A,FALSE,"EX - THAI";#N/A,#N/A,FALSE,"EX - INDIA";#N/A,#N/A,FALSE,"EX - MAL";#N/A,#N/A,FALSE,"EX - SWA";#N/A,#N/A,FALSE,"EX - INDO";#N/A,#N/A,FALSE,"EX - DIV";#N/A,#N/A,FALSE,"EX - CONS THAI";#N/A,#N/A,FALSE,"EX-GTS";#N/A,#N/A,FALSE,"EX-CCNR"}</definedName>
    <definedName name="gsdfd" hidden="1">{#N/A,#N/A,FALSE,"ISEWAD";#N/A,#N/A,FALSE,"THAI";#N/A,#N/A,FALSE,"INDIA";#N/A,#N/A,FALSE,"MAL";#N/A,#N/A,FALSE,"SWA";#N/A,#N/A,FALSE,"INDO"}</definedName>
    <definedName name="gsdgf" hidden="1">{"Balance Sheet",#N/A,FALSE,"bsheet";"Assets Schedule",#N/A,FALSE,"bsheet";"Notes",#N/A,FALSE,"bsheet";"Abstract",#N/A,FALSE,"bsheet";"Cash Flow",#N/A,FALSE,"bsheet";"groupings",#N/A,FALSE,"bsheet";"Stocks",#N/A,FALSE,"bsheet";"Trial",#N/A,FALSE,"bsheet"}</definedName>
    <definedName name="gtawe" hidden="1">{"Computation Tax",#N/A,FALSE,"43B";"Dep I.Tax",#N/A,FALSE,"43B";"I Tax Losses",#N/A,FALSE,"43B";"Annex-III 3CD",#N/A,FALSE,"43B";"Cash Payments",#N/A,FALSE,"43B";"43B",#N/A,FALSE,"43B"}</definedName>
    <definedName name="hdg" hidden="1">{#N/A,#N/A,FALSE,"ISEWAD";#N/A,#N/A,FALSE,"THAI";#N/A,#N/A,FALSE,"INDIA";#N/A,#N/A,FALSE,"MAL";#N/A,#N/A,FALSE,"SWA";#N/A,#N/A,FALSE,"INDO"}</definedName>
    <definedName name="hfddgfd" hidden="1">{#N/A,#N/A,FALSE,"EX-ISEWA -all";#N/A,#N/A,FALSE,"EX - SEWA";#N/A,#N/A,FALSE,"EX - ISEWAD";#N/A,#N/A,FALSE,"EX - THAI";#N/A,#N/A,FALSE,"EX - INDIA";#N/A,#N/A,FALSE,"EX - MAL";#N/A,#N/A,FALSE,"EX - SWA";#N/A,#N/A,FALSE,"EX - INDO";#N/A,#N/A,FALSE,"EX - DIV";#N/A,#N/A,FALSE,"EX - CONS THAI";#N/A,#N/A,FALSE,"EX-GTS";#N/A,#N/A,FALSE,"EX-CCNR"}</definedName>
    <definedName name="hfhjhh" hidden="1">{#N/A,#N/A,FALSE,"EX-ISEWA -all";#N/A,#N/A,FALSE,"EX - SEWA";#N/A,#N/A,FALSE,"EX - ISEWAD";#N/A,#N/A,FALSE,"EX - THAI";#N/A,#N/A,FALSE,"EX - INDIA";#N/A,#N/A,FALSE,"EX - MAL";#N/A,#N/A,FALSE,"EX - SWA";#N/A,#N/A,FALSE,"EX - INDO";#N/A,#N/A,FALSE,"EX - DIV";#N/A,#N/A,FALSE,"EX - CONS THAI";#N/A,#N/A,FALSE,"EX-GTS";#N/A,#N/A,FALSE,"EX-CCNR"}</definedName>
    <definedName name="hg" hidden="1">{"Balance Sheet",#N/A,FALSE,"Balsheet";"Assets Schedule",#N/A,FALSE,"Balsheet";"Abstract",#N/A,FALSE,"Balsheet"}</definedName>
    <definedName name="hghg" hidden="1">{#N/A,#N/A,FALSE,"EX-ISEWA -all";#N/A,#N/A,FALSE,"EX - SEWA";#N/A,#N/A,FALSE,"EX - ISEWAD";#N/A,#N/A,FALSE,"EX - THAI";#N/A,#N/A,FALSE,"EX - INDIA";#N/A,#N/A,FALSE,"EX - MAL";#N/A,#N/A,FALSE,"EX - SWA";#N/A,#N/A,FALSE,"EX - INDO";#N/A,#N/A,FALSE,"EX - DIV";#N/A,#N/A,FALSE,"EX - CONS THAI";#N/A,#N/A,FALSE,"EX-GTS";#N/A,#N/A,FALSE,"EX-CCNR"}</definedName>
    <definedName name="hhd" hidden="1">{#N/A,#N/A,FALSE,"ISEWAD";#N/A,#N/A,FALSE,"THAI";#N/A,#N/A,FALSE,"INDIA";#N/A,#N/A,FALSE,"MAL";#N/A,#N/A,FALSE,"SWA";#N/A,#N/A,FALSE,"INDO"}</definedName>
    <definedName name="HiddenRows" hidden="1">#REF!</definedName>
    <definedName name="hjfdgdfd" hidden="1">{#N/A,#N/A,FALSE,"ISEWAD";#N/A,#N/A,FALSE,"THAI";#N/A,#N/A,FALSE,"INDIA";#N/A,#N/A,FALSE,"MAL";#N/A,#N/A,FALSE,"SWA";#N/A,#N/A,FALSE,"INDO"}</definedName>
    <definedName name="hjghg" hidden="1">{#N/A,#N/A,FALSE,"ISEWAD";#N/A,#N/A,FALSE,"THAI";#N/A,#N/A,FALSE,"INDIA";#N/A,#N/A,FALSE,"MAL";#N/A,#N/A,FALSE,"SWA";#N/A,#N/A,FALSE,"INDO"}</definedName>
    <definedName name="hkjhkkjkk" hidden="1">{"'Tracking'!$A$1:$Z$493"}</definedName>
    <definedName name="hlo" hidden="1">{"Bsheet",#N/A,FALSE,"Bsheet";"P&amp;L",#N/A,FALSE,"Bsheet";"Trading",#N/A,FALSE,"Bsheet";"Schedule",#N/A,FALSE,"Bsheet";"Details",#N/A,FALSE,"Bsheet";"AnnexureII",#N/A,FALSE,"Bsheet"}</definedName>
    <definedName name="HTML_CodePage" hidden="1">1252</definedName>
    <definedName name="HTML_Control" hidden="1">{"'Tracking'!$A$1:$Z$493"}</definedName>
    <definedName name="HTML_Description" hidden="1">""</definedName>
    <definedName name="HTML_Email" hidden="1">""</definedName>
    <definedName name="HTML_Header" hidden="1">"Tracking"</definedName>
    <definedName name="HTML_LastUpdate" hidden="1">"11/27/02"</definedName>
    <definedName name="HTML_LineAfter" hidden="1">FALSE</definedName>
    <definedName name="HTML_LineBefore" hidden="1">FALSE</definedName>
    <definedName name="HTML_Name" hidden="1">"Ashish Singhal"</definedName>
    <definedName name="HTML_OBDlg2" hidden="1">TRUE</definedName>
    <definedName name="HTML_OBDlg4" hidden="1">TRUE</definedName>
    <definedName name="HTML_OS" hidden="1">0</definedName>
    <definedName name="HTML_PathFile" hidden="1">"C:\Ashish\MyHTML.htm"</definedName>
    <definedName name="HTML_Title" hidden="1">"COBO-projects03"</definedName>
    <definedName name="HTRYRT" hidden="1">{#N/A,#N/A,FALSE,"EX-ISEWA -ccnr";#N/A,#N/A,FALSE,"EX - THAI";#N/A,#N/A,FALSE,"EX - INDIA";#N/A,#N/A,FALSE,"EX - MAL";#N/A,#N/A,FALSE,"EX - SWA";#N/A,#N/A,FALSE,"EX - INDO";#N/A,#N/A,FALSE,"EX - DIV";#N/A,#N/A,FALSE,"EX - CONS THAI";#N/A,#N/A,FALSE,"EX-GTS";#N/A,#N/A,FALSE,"EX-CCNR"}</definedName>
    <definedName name="hyaqwet" hidden="1">{"Bsheet",#N/A,FALSE,"Bsheet";"P&amp;L",#N/A,FALSE,"Bsheet";"Trading",#N/A,FALSE,"Bsheet";"Schedule",#N/A,FALSE,"Bsheet";"Details",#N/A,FALSE,"Bsheet";"AnnexureII",#N/A,FALSE,"Bsheet"}</definedName>
    <definedName name="iuuiu" hidden="1">{#N/A,#N/A,FALSE,"ISEWAD";#N/A,#N/A,FALSE,"THAI";#N/A,#N/A,FALSE,"INDIA";#N/A,#N/A,FALSE,"MAL";#N/A,#N/A,FALSE,"SWA";#N/A,#N/A,FALSE,"INDO"}</definedName>
    <definedName name="jc" hidden="1">{#N/A,#N/A,FALSE,"MWISE"}</definedName>
    <definedName name="jh" hidden="1">{#N/A,#N/A,FALSE,"Consolidated (2)"}</definedName>
    <definedName name="JHGH" hidden="1">{#N/A,#N/A,FALSE,"EX-ISEWA -all";#N/A,#N/A,FALSE,"EX - SEWA";#N/A,#N/A,FALSE,"EX - ISEWAD";#N/A,#N/A,FALSE,"EX - THAI";#N/A,#N/A,FALSE,"EX - INDIA";#N/A,#N/A,FALSE,"EX - MAL";#N/A,#N/A,FALSE,"EX - SWA";#N/A,#N/A,FALSE,"EX - INDO";#N/A,#N/A,FALSE,"EX - DIV";#N/A,#N/A,FALSE,"EX - CONS THAI";#N/A,#N/A,FALSE,"EX-GTS";#N/A,#N/A,FALSE,"EX-CCNR"}</definedName>
    <definedName name="jhhh" hidden="1">{#N/A,#N/A,FALSE,"ISEWAD";#N/A,#N/A,FALSE,"THAI";#N/A,#N/A,FALSE,"INDIA";#N/A,#N/A,FALSE,"MAL";#N/A,#N/A,FALSE,"SWA";#N/A,#N/A,FALSE,"INDO"}</definedName>
    <definedName name="jj" hidden="1">{#N/A,#N/A,FALSE,"ISEWAD";#N/A,#N/A,FALSE,"THAI";#N/A,#N/A,FALSE,"INDIA";#N/A,#N/A,FALSE,"MAL";#N/A,#N/A,FALSE,"SWA";#N/A,#N/A,FALSE,"INDO"}</definedName>
    <definedName name="jnlk" hidden="1">{"Bsheet",#N/A,FALSE,"Bsheet";"P&amp;L",#N/A,FALSE,"Bsheet";"Trading",#N/A,FALSE,"Bsheet";"Schedule",#N/A,FALSE,"Bsheet";"Details",#N/A,FALSE,"Bsheet";"AnnexureII",#N/A,FALSE,"Bsheet"}</definedName>
    <definedName name="kghk" hidden="1">{"Balance Sheet",#N/A,FALSE,"Balsheet";"Assets Schedule",#N/A,FALSE,"Balsheet";"Abstract",#N/A,FALSE,"Balsheet"}</definedName>
    <definedName name="khkhk" hidden="1">{"'Tracking'!$A$1:$Z$493"}</definedName>
    <definedName name="kl" hidden="1">{"Total_December",#N/A,FALSE,"Summary"}</definedName>
    <definedName name="klm.gtg02" hidden="1">{#N/A,#N/A,FALSE,"BS"}</definedName>
    <definedName name="ksdkdsk" hidden="1">#REF!</definedName>
    <definedName name="limcount" hidden="1">1</definedName>
    <definedName name="lkhlkhh" hidden="1">{"'Tracking'!$A$1:$Z$493"}</definedName>
    <definedName name="lkjljju" hidden="1">{"'Tracking'!$A$1:$Z$493"}</definedName>
    <definedName name="lslsl" hidden="1">#REF!</definedName>
    <definedName name="mn" hidden="1">{"Bsheet",#N/A,FALSE,"Bsheet";"Schedule",#N/A,FALSE,"Bsheet";"Notes",#N/A,FALSE,"Bsheet";"Abstract",#N/A,FALSE,"Bsheet";"Details",#N/A,FALSE,"Bsheet";"Stores",#N/A,FALSE,"Bsheet";"Stocks",#N/A,FALSE,"Bsheet";"Computation",#N/A,FALSE,"Bsheet";"Losses",#N/A,FALSE,"Losses"}</definedName>
    <definedName name="naveenfilter" hidden="1">#REF!</definedName>
    <definedName name="ncnbc" hidden="1">{#N/A,#N/A,FALSE,"ISEWAD";#N/A,#N/A,FALSE,"THAI";#N/A,#N/A,FALSE,"INDIA";#N/A,#N/A,FALSE,"MAL";#N/A,#N/A,FALSE,"SWA";#N/A,#N/A,FALSE,"INDO"}</definedName>
    <definedName name="Nepali" hidden="1">{#N/A,#N/A,FALSE,"EX-ISEWA -all";#N/A,#N/A,FALSE,"EX - SEWA";#N/A,#N/A,FALSE,"EX - ISEWAD";#N/A,#N/A,FALSE,"EX - THAI";#N/A,#N/A,FALSE,"EX - INDIA";#N/A,#N/A,FALSE,"EX - MAL";#N/A,#N/A,FALSE,"EX - SWA";#N/A,#N/A,FALSE,"EX - INDO";#N/A,#N/A,FALSE,"EX - DIV";#N/A,#N/A,FALSE,"EX - CONS THAI";#N/A,#N/A,FALSE,"EX-GTS";#N/A,#N/A,FALSE,"EX-CCNR"}</definedName>
    <definedName name="newravinder" hidden="1">#REF!</definedName>
    <definedName name="NEWRAVINDER1" hidden="1">#REF!</definedName>
    <definedName name="nn" hidden="1">{#N/A,#N/A,FALSE,"ISEWA-ccnr";#N/A,#N/A,FALSE,"THAI";#N/A,#N/A,FALSE,"INDIA";#N/A,#N/A,FALSE,"CON-SING";#N/A,#N/A,FALSE,"MAL";#N/A,#N/A,FALSE,"CCNR";#N/A,#N/A,FALSE,"SWA";#N/A,#N/A,FALSE,"INDO";#N/A,#N/A,FALSE,"DIV";#N/A,#N/A,FALSE,"CONS.THAI";#N/A,#N/A,FALSE,"TPDL";#N/A,#N/A,FALSE,"FNCC";#N/A,#N/A,FALSE,"GTS"}</definedName>
    <definedName name="notes" hidden="1">#REF!</definedName>
    <definedName name="nrw.Balance_Sheet" hidden="1">{#N/A,#N/A,FALSE,"Consolidated"}</definedName>
    <definedName name="OrderTable" hidden="1">#REF!</definedName>
    <definedName name="p" hidden="1">#REF!</definedName>
    <definedName name="paki" hidden="1">{#N/A,#N/A,FALSE,"EX-ISEWA -all";#N/A,#N/A,FALSE,"EX - SEWA";#N/A,#N/A,FALSE,"EX - ISEWAD";#N/A,#N/A,FALSE,"EX - THAI";#N/A,#N/A,FALSE,"EX - INDIA";#N/A,#N/A,FALSE,"EX - MAL";#N/A,#N/A,FALSE,"EX - SWA";#N/A,#N/A,FALSE,"EX - INDO";#N/A,#N/A,FALSE,"EX - DIV";#N/A,#N/A,FALSE,"EX - CONS THAI";#N/A,#N/A,FALSE,"EX-GTS";#N/A,#N/A,FALSE,"EX-CCNR"}</definedName>
    <definedName name="PHI" hidden="1">#REF!</definedName>
    <definedName name="PKK" hidden="1">[3]Summary!#REF!</definedName>
    <definedName name="po" hidden="1">{#N/A,#N/A,FALSE,"Consolidated"}</definedName>
    <definedName name="pravin" hidden="1">[4]Summary!#REF!</definedName>
    <definedName name="_xlnm.Print_Area" localSheetId="17">'3.1 03.15'!$A$1:$I$77</definedName>
    <definedName name="_xlnm.Print_Area" localSheetId="4">'3.1 10.18'!$A$1:$I$71</definedName>
    <definedName name="_xlnm.Print_Area" localSheetId="22">'3.12 to 3.18 ao 03.15'!$A$1:$G$92</definedName>
    <definedName name="_xlnm.Print_Area" localSheetId="8">'3.12 to 3.18 ao 10.18'!$A$1:$F$92</definedName>
    <definedName name="_xlnm.Print_Area" localSheetId="21">'3.4 to 3.6 ao 03.15'!$A$1:$E$73</definedName>
    <definedName name="_xlnm.Print_Area" localSheetId="5">'3.4 to 3.6 ao 10.18'!$A$1:$D$69</definedName>
    <definedName name="_xlnm.Print_Area" localSheetId="20">'3.7 to 3.8 03.15'!$A$1:$F$51</definedName>
    <definedName name="_xlnm.Print_Area" localSheetId="6">'3.7 to 3.8 10.18'!$A$1:$E$47</definedName>
    <definedName name="_xlnm.Print_Area" localSheetId="19">'3.9 to 3.11 AO 03.15'!$A$1:$D$71</definedName>
    <definedName name="_xlnm.Print_Area" localSheetId="7">'3.9 to 3.11 AO 10.18'!$A$1:$E$69</definedName>
    <definedName name="_xlnm.Print_Area" localSheetId="16">'SCF 03.15'!$A$1:$C$39</definedName>
    <definedName name="_xlnm.Print_Area" localSheetId="3">'SCF 10.18'!$A$1:$C$39</definedName>
    <definedName name="_xlnm.Print_Area" localSheetId="15">'SOCE 03.15'!$A$1:$G$20</definedName>
    <definedName name="_xlnm.Print_Area" localSheetId="2">'SOCE 10.18'!$A$1:$G$20</definedName>
    <definedName name="_xlnm.Print_Area" localSheetId="13">'SOFP  03.15'!$A$1:$E$46</definedName>
    <definedName name="_xlnm.Print_Area" localSheetId="0">'SOFP  10.18'!$A$1:$D$46</definedName>
    <definedName name="_xlnm.Print_Area" localSheetId="14">'SOI 03.15'!$A$1:$E$23</definedName>
    <definedName name="_xlnm.Print_Area" localSheetId="1">'SOI 10.18'!$A$1:$D$23</definedName>
    <definedName name="_xlnm.Print_Area" localSheetId="26">'Tax Computation 03.15'!$A$1:$C$16</definedName>
    <definedName name="_xlnm.Print_Area" localSheetId="12">'Tax Computation 10.18'!$A$1:$C$16</definedName>
    <definedName name="ProdForm" hidden="1">#REF!</definedName>
    <definedName name="Product" hidden="1">#REF!</definedName>
    <definedName name="q" hidden="1">[4]Summary!$D$46</definedName>
    <definedName name="qrqwr" hidden="1">{"Computation Tax",#N/A,FALSE,"43B";"Dep I.Tax",#N/A,FALSE,"43B";"I Tax Losses",#N/A,FALSE,"43B";"Annex-III 3CD",#N/A,FALSE,"43B";"Cash Payments",#N/A,FALSE,"43B";"43B",#N/A,FALSE,"43B"}</definedName>
    <definedName name="qwer" hidden="1">{"Balance Sheet",#N/A,FALSE,"bsheet";"Assets Schedule",#N/A,FALSE,"bsheet";"Notes",#N/A,FALSE,"bsheet";"Abstract",#N/A,FALSE,"bsheet";"Cash Flow",#N/A,FALSE,"bsheet";"groupings",#N/A,FALSE,"bsheet";"Stocks",#N/A,FALSE,"bsheet";"Trial",#N/A,FALSE,"bsheet"}</definedName>
    <definedName name="qwerda" hidden="1">{"Balance Sheet",#N/A,FALSE,"bsheet";"Assets Schedule",#N/A,FALSE,"bsheet";"Notes",#N/A,FALSE,"bsheet";"Abstract",#N/A,FALSE,"bsheet";"Cash Flow",#N/A,FALSE,"bsheet";"groupings",#N/A,FALSE,"bsheet";"Stocks",#N/A,FALSE,"bsheet";"Trial",#N/A,FALSE,"bsheet"}</definedName>
    <definedName name="qwerqer" hidden="1">{"Computation Tax",#N/A,FALSE,"43B";"Dep I.Tax",#N/A,FALSE,"43B";"I Tax Losses",#N/A,FALSE,"43B";"Annex-III 3CD",#N/A,FALSE,"43B";"Cash Payments",#N/A,FALSE,"43B";"43B",#N/A,FALSE,"43B"}</definedName>
    <definedName name="qwerwqer" hidden="1">{#N/A,#N/A,FALSE,"EX-ISEWA -all";#N/A,#N/A,FALSE,"EX - SEWA";#N/A,#N/A,FALSE,"EX - ISEWAD";#N/A,#N/A,FALSE,"EX - THAI";#N/A,#N/A,FALSE,"EX - INDIA";#N/A,#N/A,FALSE,"EX - MAL";#N/A,#N/A,FALSE,"EX - SWA";#N/A,#N/A,FALSE,"EX - INDO";#N/A,#N/A,FALSE,"EX - DIV";#N/A,#N/A,FALSE,"EX - CONS THAI";#N/A,#N/A,FALSE,"EX-GTS";#N/A,#N/A,FALSE,"EX-CCNR"}</definedName>
    <definedName name="raki" hidden="1">{#N/A,#N/A,FALSE,"EX-ISEWA -all";#N/A,#N/A,FALSE,"EX - SEWA";#N/A,#N/A,FALSE,"EX - ISEWAD";#N/A,#N/A,FALSE,"EX - THAI";#N/A,#N/A,FALSE,"EX - INDIA";#N/A,#N/A,FALSE,"EX - MAL";#N/A,#N/A,FALSE,"EX - SWA";#N/A,#N/A,FALSE,"EX - INDO";#N/A,#N/A,FALSE,"EX - DIV";#N/A,#N/A,FALSE,"EX - CONS THAI";#N/A,#N/A,FALSE,"EX-GTS";#N/A,#N/A,FALSE,"EX-CCNR"}</definedName>
    <definedName name="RCArea" hidden="1">#REF!</definedName>
    <definedName name="RDGFSD" hidden="1">{#N/A,#N/A,FALSE,"ISEWAD";#N/A,#N/A,FALSE,"THAI";#N/A,#N/A,FALSE,"INDIA";#N/A,#N/A,FALSE,"MAL";#N/A,#N/A,FALSE,"SWA";#N/A,#N/A,FALSE,"INDO"}</definedName>
    <definedName name="rqwe" hidden="1">{"Balance Sheet",#N/A,FALSE,"bsheet";"Assets Schedule",#N/A,FALSE,"bsheet";"Notes",#N/A,FALSE,"bsheet";"Abstract",#N/A,FALSE,"bsheet";"Cash Flow",#N/A,FALSE,"bsheet";"groupings",#N/A,FALSE,"bsheet";"Stocks",#N/A,FALSE,"bsheet";"Trial",#N/A,FALSE,"bsheet"}</definedName>
    <definedName name="rr" hidden="1">{#N/A,#N/A,FALSE,"K-ISEWA-all";#N/A,#N/A,FALSE,"K-SEWA";#N/A,#N/A,FALSE,"K-ISEWA";#N/A,#N/A,FALSE,"K-THAI";#N/A,#N/A,FALSE,"K-INDIA";#N/A,#N/A,FALSE,"K-MAL";#N/A,#N/A,FALSE,"K-SWA";#N/A,#N/A,FALSE,"K-INDO";#N/A,#N/A,FALSE,"K-DIV";#N/A,#N/A,FALSE,"K-CONS.THAI";#N/A,#N/A,FALSE,"K-GTS";#N/A,#N/A,FALSE,"K-CCNR"}</definedName>
    <definedName name="rw3rw" hidden="1">{#N/A,#N/A,FALSE,"EX-ISEWA -all";#N/A,#N/A,FALSE,"EX - SEWA";#N/A,#N/A,FALSE,"EX - ISEWAD";#N/A,#N/A,FALSE,"EX - THAI";#N/A,#N/A,FALSE,"EX - INDIA";#N/A,#N/A,FALSE,"EX - MAL";#N/A,#N/A,FALSE,"EX - SWA";#N/A,#N/A,FALSE,"EX - INDO";#N/A,#N/A,FALSE,"EX - DIV";#N/A,#N/A,FALSE,"EX - CONS THAI";#N/A,#N/A,FALSE,"EX-GTS";#N/A,#N/A,FALSE,"EX-CCNR"}</definedName>
    <definedName name="s" hidden="1">#REF!</definedName>
    <definedName name="sadfasfasdfasdf" hidden="1">{#N/A,#N/A,FALSE,"ISEWAD";#N/A,#N/A,FALSE,"THAI";#N/A,#N/A,FALSE,"INDIA";#N/A,#N/A,FALSE,"MAL";#N/A,#N/A,FALSE,"SWA";#N/A,#N/A,FALSE,"INDO"}</definedName>
    <definedName name="safdas" hidden="1">{#N/A,#N/A,FALSE,"ISEWAD";#N/A,#N/A,FALSE,"THAI";#N/A,#N/A,FALSE,"INDIA";#N/A,#N/A,FALSE,"MAL";#N/A,#N/A,FALSE,"SWA";#N/A,#N/A,FALSE,"INDO"}</definedName>
    <definedName name="safdhasdh" hidden="1">{"'Tracking'!$A$1:$Z$493"}</definedName>
    <definedName name="Sangita" hidden="1">{#N/A,#N/A,FALSE,"K-ISEWA-all";#N/A,#N/A,FALSE,"K-SEWA";#N/A,#N/A,FALSE,"K-ISEWA";#N/A,#N/A,FALSE,"K-THAI";#N/A,#N/A,FALSE,"K-INDIA";#N/A,#N/A,FALSE,"K-MAL";#N/A,#N/A,FALSE,"K-SWA";#N/A,#N/A,FALSE,"K-INDO";#N/A,#N/A,FALSE,"K-DIV";#N/A,#N/A,FALSE,"K-CONS.THAI";#N/A,#N/A,FALSE,"K-GTS";#N/A,#N/A,FALSE,"K-CCNR"}</definedName>
    <definedName name="SAPBEXdnldView" hidden="1">"8C17A8X0RGALH7BJMN1SRKN0I"</definedName>
    <definedName name="SAPBEXhrIndnt" hidden="1">1</definedName>
    <definedName name="SAPBEXrevision" hidden="1">1</definedName>
    <definedName name="SAPBEXsysID" hidden="1">"BWP"</definedName>
    <definedName name="SAPBEXwbID" hidden="1">"3J9I6T02PR8QAO68TL4HCUY35"</definedName>
    <definedName name="saQA" hidden="1">{#N/A,#N/A,FALSE,"EX-ISEWA -all";#N/A,#N/A,FALSE,"EX - SEWA";#N/A,#N/A,FALSE,"EX - ISEWAD";#N/A,#N/A,FALSE,"EX - THAI";#N/A,#N/A,FALSE,"EX - INDIA";#N/A,#N/A,FALSE,"EX - MAL";#N/A,#N/A,FALSE,"EX - SWA";#N/A,#N/A,FALSE,"EX - INDO";#N/A,#N/A,FALSE,"EX - DIV";#N/A,#N/A,FALSE,"EX - CONS THAI";#N/A,#N/A,FALSE,"EX-GTS";#N/A,#N/A,FALSE,"EX-CCNR"}</definedName>
    <definedName name="SDd" hidden="1">{#N/A,#N/A,FALSE,"ISEWA";#N/A,#N/A,FALSE,"THAI";#N/A,#N/A,FALSE,"INDIA";#N/A,#N/A,FALSE,"CON-SING";#N/A,#N/A,FALSE,"MAL-SING";#N/A,#N/A,FALSE,"MAL";#N/A,#N/A,FALSE,"SING";#N/A,#N/A,FALSE,"CCNR";#N/A,#N/A,FALSE,"SWA";#N/A,#N/A,FALSE,"INDO";#N/A,#N/A,FALSE,"VN"}</definedName>
    <definedName name="sdfhsfd" hidden="1">{"'Tracking'!$A$1:$Z$493"}</definedName>
    <definedName name="sencount" hidden="1">1</definedName>
    <definedName name="SING" hidden="1">{#N/A,#N/A,FALSE,"K-ISEWA-all";#N/A,#N/A,FALSE,"K-SEWA";#N/A,#N/A,FALSE,"K-ISEWA";#N/A,#N/A,FALSE,"K-THAI";#N/A,#N/A,FALSE,"K-INDIA";#N/A,#N/A,FALSE,"K-MAL";#N/A,#N/A,FALSE,"K-SWA";#N/A,#N/A,FALSE,"K-INDO";#N/A,#N/A,FALSE,"K-DIV";#N/A,#N/A,FALSE,"K-CONS.THAI";#N/A,#N/A,FALSE,"K-GTS";#N/A,#N/A,FALSE,"K-CCNR"}</definedName>
    <definedName name="SpecialPrice" hidden="1">#REF!</definedName>
    <definedName name="ss" hidden="1">{#N/A,#N/A,FALSE,"EX-ISEWA -all";#N/A,#N/A,FALSE,"EX - SEWA";#N/A,#N/A,FALSE,"EX - ISEWAD";#N/A,#N/A,FALSE,"EX - THAI";#N/A,#N/A,FALSE,"EX - INDIA";#N/A,#N/A,FALSE,"EX - MAL";#N/A,#N/A,FALSE,"EX - SWA";#N/A,#N/A,FALSE,"EX - INDO";#N/A,#N/A,FALSE,"EX - DIV";#N/A,#N/A,FALSE,"EX - CONS THAI";#N/A,#N/A,FALSE,"EX-GTS";#N/A,#N/A,FALSE,"EX-CCNR"}</definedName>
    <definedName name="ssh" hidden="1">#REF!</definedName>
    <definedName name="SSSSSSSSSSSas" hidden="1">{#N/A,#N/A,FALSE,"EX-ISEWA -all";#N/A,#N/A,FALSE,"EX - SEWA";#N/A,#N/A,FALSE,"EX - ISEWAD";#N/A,#N/A,FALSE,"EX - THAI";#N/A,#N/A,FALSE,"EX - INDIA";#N/A,#N/A,FALSE,"EX - MAL";#N/A,#N/A,FALSE,"EX - SWA";#N/A,#N/A,FALSE,"EX - INDO";#N/A,#N/A,FALSE,"EX - DIV";#N/A,#N/A,FALSE,"EX - CONS THAI";#N/A,#N/A,FALSE,"EX-GTS";#N/A,#N/A,FALSE,"EX-CCNR"}</definedName>
    <definedName name="summary" hidden="1">#REF!</definedName>
    <definedName name="tbb" hidden="1">#REF!</definedName>
    <definedName name="tbba" hidden="1">#REF!</definedName>
    <definedName name="tbl_ProdInfo" hidden="1">#REF!</definedName>
    <definedName name="tfgwqe" hidden="1">{"Balance Sheet",#N/A,FALSE,"Balsheet";"Assets Schedule",#N/A,FALSE,"Balsheet";"Abstract",#N/A,FALSE,"Balsheet"}</definedName>
    <definedName name="tgi" hidden="1">{"Bsheet",#N/A,FALSE,"Bsheet";"Schedule",#N/A,FALSE,"Bsheet";"Notes",#N/A,FALSE,"Bsheet";"Abstract",#N/A,FALSE,"Bsheet";"Details",#N/A,FALSE,"Bsheet";"Stores",#N/A,FALSE,"Bsheet";"Stocks",#N/A,FALSE,"Bsheet";"Computation",#N/A,FALSE,"Bsheet";"Losses",#N/A,FALSE,"Losses"}</definedName>
    <definedName name="tgii" hidden="1">{"Bsheet",#N/A,FALSE,"Bsheet";"Schedule",#N/A,FALSE,"Bsheet";"Notes",#N/A,FALSE,"Bsheet";"Abstract",#N/A,FALSE,"Bsheet";"Details",#N/A,FALSE,"Bsheet";"Stores",#N/A,FALSE,"Bsheet";"Stocks",#N/A,FALSE,"Bsheet";"Computation",#N/A,FALSE,"Bsheet";"Losses",#N/A,FALSE,"Losses"}</definedName>
    <definedName name="tqwerq" hidden="1">{"Balance Sheet",#N/A,FALSE,"bsheet";"Assets Schedule",#N/A,FALSE,"bsheet";"Notes",#N/A,FALSE,"bsheet";"Abstract",#N/A,FALSE,"bsheet";"Cash Flow",#N/A,FALSE,"bsheet";"groupings",#N/A,FALSE,"bsheet";"Stocks",#N/A,FALSE,"bsheet";"Trial",#N/A,FALSE,"bsheet"}</definedName>
    <definedName name="trdtrrt" hidden="1">{#N/A,#N/A,FALSE,"ISEWAD";#N/A,#N/A,FALSE,"THAI";#N/A,#N/A,FALSE,"INDIA";#N/A,#N/A,FALSE,"MAL";#N/A,#N/A,FALSE,"SWA";#N/A,#N/A,FALSE,"INDO"}</definedName>
    <definedName name="twqer" hidden="1">{"Balance Sheet",#N/A,FALSE,"bsheet";"Assets Schedule",#N/A,FALSE,"bsheet";"Notes",#N/A,FALSE,"bsheet";"Abstract",#N/A,FALSE,"bsheet";"Cash Flow",#N/A,FALSE,"bsheet";"groupings",#N/A,FALSE,"bsheet";"Stocks",#N/A,FALSE,"bsheet";"Trial",#N/A,FALSE,"bsheet"}</definedName>
    <definedName name="uui" hidden="1">{#N/A,#N/A,FALSE,"ISEWAD";#N/A,#N/A,FALSE,"THAI";#N/A,#N/A,FALSE,"INDIA";#N/A,#N/A,FALSE,"MAL";#N/A,#N/A,FALSE,"SWA";#N/A,#N/A,FALSE,"INDO"}</definedName>
    <definedName name="vcvxc" hidden="1">{#N/A,#N/A,FALSE,"ISEWAD";#N/A,#N/A,FALSE,"THAI";#N/A,#N/A,FALSE,"INDIA";#N/A,#N/A,FALSE,"MAL";#N/A,#N/A,FALSE,"SWA";#N/A,#N/A,FALSE,"INDO"}</definedName>
    <definedName name="VGDSFSD" hidden="1">{#N/A,#N/A,FALSE,"ISEWAD";#N/A,#N/A,FALSE,"THAI";#N/A,#N/A,FALSE,"INDIA";#N/A,#N/A,FALSE,"MAL";#N/A,#N/A,FALSE,"SWA";#N/A,#N/A,FALSE,"INDO"}</definedName>
    <definedName name="vxcx" hidden="1">{#N/A,#N/A,FALSE,"ISEWAD";#N/A,#N/A,FALSE,"THAI";#N/A,#N/A,FALSE,"INDIA";#N/A,#N/A,FALSE,"MAL";#N/A,#N/A,FALSE,"SWA";#N/A,#N/A,FALSE,"INDO"}</definedName>
    <definedName name="w" hidden="1">[1]Accounts!#REF!</definedName>
    <definedName name="wdefgr" hidden="1">{"'Tracking'!$A$1:$Z$493"}</definedName>
    <definedName name="wrn.balance" hidden="1">{#N/A,#N/A,FALSE,"Consolidated"}</definedName>
    <definedName name="wrn.Balance._.Sheet._.Set." hidden="1">{"Balance Sheet",#N/A,FALSE,"bsheet";"Assets Schedule",#N/A,FALSE,"bsheet";"Notes",#N/A,FALSE,"bsheet";"Abstract",#N/A,FALSE,"bsheet";"Cash Flow",#N/A,FALSE,"bsheet";"groupings",#N/A,FALSE,"bsheet";"Stocks",#N/A,FALSE,"bsheet";"Trial",#N/A,FALSE,"bsheet"}</definedName>
    <definedName name="wrn.Balance_Sheet." hidden="1">{#N/A,#N/A,FALSE,"Consolidated"}</definedName>
    <definedName name="wrn.brand." hidden="1">{#N/A,#N/A,FALSE,"ISEWAD";#N/A,#N/A,FALSE,"THAI";#N/A,#N/A,FALSE,"INDIA";#N/A,#N/A,FALSE,"MAL";#N/A,#N/A,FALSE,"SWA";#N/A,#N/A,FALSE,"INDO"}</definedName>
    <definedName name="wrn.BRAND.PL." hidden="1">{#N/A,#N/A,FALSE,"ISEWA";#N/A,#N/A,FALSE,"THAI";#N/A,#N/A,FALSE,"INDIA";#N/A,#N/A,FALSE,"CON-SING";#N/A,#N/A,FALSE,"MAL-SING";#N/A,#N/A,FALSE,"MAL";#N/A,#N/A,FALSE,"SING";#N/A,#N/A,FALSE,"CCNR";#N/A,#N/A,FALSE,"SWA";#N/A,#N/A,FALSE,"INDO";#N/A,#N/A,FALSE,"VN"}</definedName>
    <definedName name="wrn.BRAND.ST." hidden="1">{#N/A,#N/A,FALSE,"B-ISEWA";#N/A,#N/A,FALSE,"B-THAI";#N/A,#N/A,FALSE,"B-INDIA";#N/A,#N/A,FALSE,"B-CON-SING";#N/A,#N/A,FALSE,"B-MALSIN";#N/A,#N/A,FALSE,"B-SING";#N/A,#N/A,FALSE,"B-MAL";#N/A,#N/A,FALSE,"B-CCNR";#N/A,#N/A,FALSE,"B-SWA";#N/A,#N/A,FALSE,"B-INDO";#N/A,#N/A,FALSE,"B-VN"}</definedName>
    <definedName name="wrn.Computation._.3CD._.Details." hidden="1">{"Computation Tax",#N/A,FALSE,"43B";"Dep I.Tax",#N/A,FALSE,"43B";"I Tax Losses",#N/A,FALSE,"43B";"Annex-III 3CD",#N/A,FALSE,"43B";"Cash Payments",#N/A,FALSE,"43B";"43B",#N/A,FALSE,"43B"}</definedName>
    <definedName name="wrn.dec02." hidden="1">{#N/A,#N/A,FALSE,"BS"}</definedName>
    <definedName name="wrn.exp.." hidden="1">{#N/A,#N/A,FALSE,"EX-ISEWA -ccnr";#N/A,#N/A,FALSE,"EX - THAI";#N/A,#N/A,FALSE,"EX - INDIA";#N/A,#N/A,FALSE,"EX - MAL";#N/A,#N/A,FALSE,"EX - SWA";#N/A,#N/A,FALSE,"EX - INDO";#N/A,#N/A,FALSE,"EX - DIV";#N/A,#N/A,FALSE,"EX - CONS THAI";#N/A,#N/A,FALSE,"EX-GTS";#N/A,#N/A,FALSE,"EX-CCNR"}</definedName>
    <definedName name="wrn.Expenses." hidden="1">{#N/A,#N/A,FALSE,"Consolidated (2)"}</definedName>
    <definedName name="wrn.fin.st" hidden="1">{#N/A,#N/A,FALSE,"ISEWA-ccnr";#N/A,#N/A,FALSE,"THAI";#N/A,#N/A,FALSE,"INDIA";#N/A,#N/A,FALSE,"CON.SING";#N/A,#N/A,FALSE,"MAL";#N/A,#N/A,FALSE,"CCNR";#N/A,#N/A,FALSE,"SWA";#N/A,#N/A,FALSE,"INDO";#N/A,#N/A,FALSE,"DIV";#N/A,#N/A,FALSE,"CONS.THAI";#N/A,#N/A,FALSE,"TPDL";#N/A,#N/A,FALSE,"FNCC";#N/A,#N/A,FALSE,"GTS"}</definedName>
    <definedName name="wrn.FIN.ST." hidden="1">{#N/A,#N/A,FALSE,"ISEWA-ccnr";#N/A,#N/A,FALSE,"THAI";#N/A,#N/A,FALSE,"INDIA";#N/A,#N/A,FALSE,"CON.SING";#N/A,#N/A,FALSE,"MAL";#N/A,#N/A,FALSE,"CCNR";#N/A,#N/A,FALSE,"SWA";#N/A,#N/A,FALSE,"INDO";#N/A,#N/A,FALSE,"DIV";#N/A,#N/A,FALSE,"CONS.THAI";#N/A,#N/A,FALSE,"TPDL";#N/A,#N/A,FALSE,"FNCC";#N/A,#N/A,FALSE,"GTS"}</definedName>
    <definedName name="wrn.Ful._.Set." hidden="1">{"Bsheet",#N/A,FALSE,"Bsheet";"Schedule",#N/A,FALSE,"Bsheet";"Notes",#N/A,FALSE,"Bsheet";"Abstract",#N/A,FALSE,"Bsheet";"Details",#N/A,FALSE,"Bsheet";"Stores",#N/A,FALSE,"Bsheet";"Stocks",#N/A,FALSE,"Bsheet";"Computation",#N/A,FALSE,"Bsheet";"Losses",#N/A,FALSE,"Losses"}</definedName>
    <definedName name="wrn.Full._.set." hidden="1">{"Bsheet",#N/A,FALSE,"Bsheet";"P&amp;L",#N/A,FALSE,"Bsheet";"Trading",#N/A,FALSE,"Bsheet";"Schedule",#N/A,FALSE,"Bsheet";"Details",#N/A,FALSE,"Bsheet";"AnnexureII",#N/A,FALSE,"Bsheet"}</definedName>
    <definedName name="wrn.Income_Statement." hidden="1">{"Income_Statement",#N/A,TRUE,"Consolidated";"Income_statement",#N/A,TRUE,"Consolidated"}</definedName>
    <definedName name="wrn.K." hidden="1">{#N/A,#N/A,FALSE,"MWISE"}</definedName>
    <definedName name="wrn.keyplan." hidden="1">{#N/A,#N/A,FALSE,"K-THAI";#N/A,#N/A,FALSE,"K-ISEWA-ccnr";#N/A,#N/A,FALSE,"K-INDIA";#N/A,#N/A,FALSE,"K-MAL";#N/A,#N/A,FALSE,"K-SWA";#N/A,#N/A,FALSE,"K-INDO";#N/A,#N/A,FALSE,"K-DIV";#N/A,#N/A,FALSE,"K-TPDL";#N/A,#N/A,FALSE,"K-CONS.THAI";#N/A,#N/A,FALSE,"K-FNCC";#N/A,#N/A,FALSE,"K-GTS"}</definedName>
    <definedName name="wrn.RE." hidden="1">{#N/A,#N/A,FALSE,"CurrRE( BAHT)";#N/A,#N/A,FALSE,"CurrRE";#N/A,#N/A,FALSE,"B";#N/A,#N/A,FALSE,"INV level "}</definedName>
    <definedName name="wrn.rep1." hidden="1">{#N/A,#N/A,FALSE,"ISEWA-ccnr";#N/A,#N/A,FALSE,"THAI";#N/A,#N/A,FALSE,"INDIA";#N/A,#N/A,FALSE,"CON-SING";#N/A,#N/A,FALSE,"MAL";#N/A,#N/A,FALSE,"CCNR";#N/A,#N/A,FALSE,"SWA";#N/A,#N/A,FALSE,"INDO";#N/A,#N/A,FALSE,"DIV";#N/A,#N/A,FALSE,"CONS.THAI";#N/A,#N/A,FALSE,"TPDL";#N/A,#N/A,FALSE,"FNCC";#N/A,#N/A,FALSE,"GTS"}</definedName>
    <definedName name="wrn.rep2." hidden="1">{#N/A,#N/A,FALSE,"P-ISEWA-ccnr";#N/A,#N/A,FALSE,"P-THAI";#N/A,#N/A,FALSE,"P-INDIA";#N/A,#N/A,FALSE,"P-CONSING";#N/A,#N/A,FALSE,"P-MAL";#N/A,#N/A,FALSE,"P-CCNR";#N/A,#N/A,FALSE,"P-SWA";#N/A,#N/A,FALSE,"P-INDO";#N/A,#N/A,FALSE,"P-DIV";#N/A,#N/A,FALSE,"P-CONS.THAI";#N/A,#N/A,FALSE,"P-GTS"}</definedName>
    <definedName name="wrn.selected_Totaa" hidden="1">{"Total_December",#N/A,FALSE,"Summary"}</definedName>
    <definedName name="wrn.Selected_Total." hidden="1">{"Total_December",#N/A,FALSE,"Summary"}</definedName>
    <definedName name="wrn.Vehicle._.Repairs." hidden="1">{#N/A,#N/A,FALSE,"Vehicles"}</definedName>
    <definedName name="wrn.vehicle.repairs" hidden="1">{#N/A,#N/A,FALSE,"Vehicles"}</definedName>
    <definedName name="wyet5rqw" hidden="1">{"Bsheet",#N/A,FALSE,"Bsheet";"Schedule",#N/A,FALSE,"Bsheet";"Notes",#N/A,FALSE,"Bsheet";"Abstract",#N/A,FALSE,"Bsheet";"Details",#N/A,FALSE,"Bsheet";"Stores",#N/A,FALSE,"Bsheet";"Stocks",#N/A,FALSE,"Bsheet";"Computation",#N/A,FALSE,"Bsheet";"Losses",#N/A,FALSE,"Losses"}</definedName>
    <definedName name="xczx" hidden="1">{#N/A,#N/A,FALSE,"EX-ISEWA -ccnr";#N/A,#N/A,FALSE,"EX - THAI";#N/A,#N/A,FALSE,"EX - INDIA";#N/A,#N/A,FALSE,"EX - MAL";#N/A,#N/A,FALSE,"EX - SWA";#N/A,#N/A,FALSE,"EX - INDO";#N/A,#N/A,FALSE,"EX - DIV";#N/A,#N/A,FALSE,"EX - CONS THAI";#N/A,#N/A,FALSE,"EX-GTS";#N/A,#N/A,FALSE,"EX-CCNR"}</definedName>
    <definedName name="xvsdfd" hidden="1">{#N/A,#N/A,FALSE,"EX-ISEWA -all";#N/A,#N/A,FALSE,"EX - SEWA";#N/A,#N/A,FALSE,"EX - ISEWAD";#N/A,#N/A,FALSE,"EX - THAI";#N/A,#N/A,FALSE,"EX - INDIA";#N/A,#N/A,FALSE,"EX - MAL";#N/A,#N/A,FALSE,"EX - SWA";#N/A,#N/A,FALSE,"EX - INDO";#N/A,#N/A,FALSE,"EX - DIV";#N/A,#N/A,FALSE,"EX - CONS THAI";#N/A,#N/A,FALSE,"EX-GTS";#N/A,#N/A,FALSE,"EX-CCNR"}</definedName>
    <definedName name="xx" hidden="1">[2]Sheet2!#REF!</definedName>
    <definedName name="xyz" hidden="1">{"Computation Tax",#N/A,FALSE,"43B";"Dep I.Tax",#N/A,FALSE,"43B";"I Tax Losses",#N/A,FALSE,"43B";"Annex-III 3CD",#N/A,FALSE,"43B";"Cash Payments",#N/A,FALSE,"43B";"43B",#N/A,FALSE,"43B"}</definedName>
    <definedName name="yeawr" hidden="1">{"Computation Tax",#N/A,FALSE,"43B";"Dep I.Tax",#N/A,FALSE,"43B";"I Tax Losses",#N/A,FALSE,"43B";"Annex-III 3CD",#N/A,FALSE,"43B";"Cash Payments",#N/A,FALSE,"43B";"43B",#N/A,FALSE,"43B"}</definedName>
    <definedName name="yfhj" hidden="1">{#N/A,#N/A,FALSE,"EX-ISEWA -all";#N/A,#N/A,FALSE,"EX - SEWA";#N/A,#N/A,FALSE,"EX - ISEWAD";#N/A,#N/A,FALSE,"EX - THAI";#N/A,#N/A,FALSE,"EX - INDIA";#N/A,#N/A,FALSE,"EX - MAL";#N/A,#N/A,FALSE,"EX - SWA";#N/A,#N/A,FALSE,"EX - INDO";#N/A,#N/A,FALSE,"EX - DIV";#N/A,#N/A,FALSE,"EX - CONS THAI";#N/A,#N/A,FALSE,"EX-GTS";#N/A,#N/A,FALSE,"EX-CCNR"}</definedName>
    <definedName name="ytr" hidden="1">{#N/A,#N/A,FALSE,"Vehicles"}</definedName>
    <definedName name="Z_687B3BA0_0CA9_11D4_A252_00C06C632732_.wvu.PrintTitles" hidden="1">#REF!</definedName>
    <definedName name="Z_D216D82B_049F_11D3_A368_444553540000_.wvu.PrintArea" hidden="1">#REF!</definedName>
    <definedName name="Z_D216D82C_049F_11D3_A368_444553540000_.wvu.PrintArea" hidden="1">#REF!</definedName>
    <definedName name="Z_DB947020_2F04_11D4_A8E7_00C06C632732_.wvu.PrintTitles" hidden="1">#REF!</definedName>
    <definedName name="Z_FCFDD320_CD05_11D3_85B2_00C06C634060_.wvu.PrintArea" hidden="1">#REF!</definedName>
    <definedName name="zdadad" hidden="1">{#N/A,#N/A,FALSE,"EX-ISEWA -all";#N/A,#N/A,FALSE,"EX - SEWA";#N/A,#N/A,FALSE,"EX - ISEWAD";#N/A,#N/A,FALSE,"EX - THAI";#N/A,#N/A,FALSE,"EX - INDIA";#N/A,#N/A,FALSE,"EX - MAL";#N/A,#N/A,FALSE,"EX - SWA";#N/A,#N/A,FALSE,"EX - INDO";#N/A,#N/A,FALSE,"EX - DIV";#N/A,#N/A,FALSE,"EX - CONS THAI";#N/A,#N/A,FALSE,"EX-GTS";#N/A,#N/A,FALSE,"EX-CCNR"}</definedName>
    <definedName name="_xlnm.Print_Area" localSheetId="31">'3.1 03.32'!$A$1:$I$77</definedName>
    <definedName name="_xlnm.Print_Area" localSheetId="35">'3.12 to 3.18 ao 03.32'!$A$1:$G$92</definedName>
    <definedName name="_xlnm.Print_Area" localSheetId="34">'3.4 to 3.6 ao 03.32'!$A$1:$E$73</definedName>
    <definedName name="_xlnm.Print_Area" localSheetId="33">'3.7 to 3.8 03.32'!$A$1:$F$51</definedName>
    <definedName name="_xlnm.Print_Area" localSheetId="32">'3.9 to 3.11 AO 03.32'!$A$1:$D$71</definedName>
    <definedName name="_xlnm.Print_Area" localSheetId="30">'SCF 03.32'!$A$1:$C$39</definedName>
    <definedName name="_xlnm.Print_Area" localSheetId="29">'SOCE 03.32'!$A$1:$G$20</definedName>
    <definedName name="_xlnm.Print_Area" localSheetId="27">'SOFP  03.32'!$A$1:$E$46</definedName>
    <definedName name="_xlnm.Print_Area" localSheetId="28">'SOI 03.32'!$A$1:$E$23</definedName>
    <definedName name="_xlnm.Print_Area" localSheetId="39">'Tax Computation 03.32'!$A$1:$C$16</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Roshan Bhattarai</author>
  </authors>
  <commentList>
    <comment ref="F30" authorId="0" shapeId="0" xr:uid="{010F267F-71BD-4A43-A0B8-FF9FFD712E36}">
      <text>
        <r>
          <rPr>
            <b/>
            <sz val="9"/>
            <color indexed="81"/>
            <rFont val="Tahoma"/>
            <family val="2"/>
          </rPr>
          <t>Roshan Bhattarai:</t>
        </r>
        <r>
          <rPr>
            <sz val="9"/>
            <color indexed="81"/>
            <rFont val="Tahoma"/>
            <family val="2"/>
          </rPr>
          <t xml:space="preserve">
not confirmed. Please verify this amount
</t>
        </r>
      </text>
    </comment>
    <comment ref="H30" authorId="0" shapeId="0" xr:uid="{39C45D98-0C29-4732-8B6A-FB71A70B65C6}">
      <text>
        <r>
          <rPr>
            <b/>
            <sz val="9"/>
            <color indexed="81"/>
            <rFont val="Tahoma"/>
            <family val="2"/>
          </rPr>
          <t>Roshan Bhattarai:</t>
        </r>
        <r>
          <rPr>
            <sz val="9"/>
            <color indexed="81"/>
            <rFont val="Tahoma"/>
            <family val="2"/>
          </rPr>
          <t xml:space="preserve">
not confirmed. Please verify this amount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Roshan Bhattarai</author>
  </authors>
  <commentList>
    <comment ref="F34" authorId="0" shapeId="0" xr:uid="{D25B6779-C585-46A2-AAF4-01EDFCFC742A}">
      <text>
        <r>
          <rPr>
            <b/>
            <sz val="9"/>
            <color indexed="81"/>
            <rFont val="Tahoma"/>
            <family val="2"/>
          </rPr>
          <t>Roshan Bhattarai:</t>
        </r>
        <r>
          <rPr>
            <sz val="9"/>
            <color indexed="81"/>
            <rFont val="Tahoma"/>
            <family val="2"/>
          </rPr>
          <t xml:space="preserve">
not confirmed. Please verify this amount
</t>
        </r>
      </text>
    </comment>
    <comment ref="H34" authorId="0" shapeId="0" xr:uid="{BF82AE4C-3BB4-4C59-AFC0-EB2081F4029F}">
      <text>
        <r>
          <rPr>
            <b/>
            <sz val="9"/>
            <color indexed="81"/>
            <rFont val="Tahoma"/>
            <family val="2"/>
          </rPr>
          <t>Roshan Bhattarai:</t>
        </r>
        <r>
          <rPr>
            <sz val="9"/>
            <color indexed="81"/>
            <rFont val="Tahoma"/>
            <family val="2"/>
          </rPr>
          <t xml:space="preserve">
not confirmed. Please verify this amount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Roshan Bhattarai</author>
  </authors>
  <commentList>
    <comment ref="F34" authorId="0" shapeId="0" xr:uid="{D25B6779-C585-46A2-AAF4-01EDFCFC742A}">
      <text>
        <r>
          <rPr>
            <b/>
            <sz val="9"/>
            <color indexed="81"/>
            <rFont val="Tahoma"/>
            <family val="2"/>
          </rPr>
          <t>Roshan Bhattarai:</t>
        </r>
        <r>
          <rPr>
            <sz val="9"/>
            <color indexed="81"/>
            <rFont val="Tahoma"/>
            <family val="2"/>
          </rPr>
          <t xml:space="preserve">
not confirmed. Please verify this amount
</t>
        </r>
      </text>
    </comment>
    <comment ref="H34" authorId="0" shapeId="0" xr:uid="{BF82AE4C-3BB4-4C59-AFC0-EB2081F4029F}">
      <text>
        <r>
          <rPr>
            <b/>
            <sz val="9"/>
            <color indexed="81"/>
            <rFont val="Tahoma"/>
            <family val="2"/>
          </rPr>
          <t>Roshan Bhattarai:</t>
        </r>
        <r>
          <rPr>
            <sz val="9"/>
            <color indexed="81"/>
            <rFont val="Tahoma"/>
            <family val="2"/>
          </rPr>
          <t xml:space="preserve">
not confirmed. Please verify this amount
</t>
        </r>
      </text>
    </comment>
  </commentList>
</comments>
</file>

<file path=xl/sharedStrings.xml><?xml version="1.0" encoding="utf-8"?>
<sst xmlns="http://schemas.openxmlformats.org/spreadsheetml/2006/main" count="7249" uniqueCount="611">
  <si>
    <t>Date</t>
  </si>
  <si>
    <t>Particulars</t>
  </si>
  <si>
    <t>Dr</t>
  </si>
  <si>
    <t>Cr</t>
  </si>
  <si>
    <t>2082.04.04</t>
  </si>
  <si>
    <t>Elite Power Pvt Ltd</t>
  </si>
  <si>
    <t>Laxmi Sunrise Bank</t>
  </si>
  <si>
    <t>2082.04.03</t>
  </si>
  <si>
    <t>2082.04.13</t>
  </si>
  <si>
    <t>Elite Steel Pvt Ltd</t>
  </si>
  <si>
    <t>2082.04.14</t>
  </si>
  <si>
    <t>Rajendra Karki</t>
  </si>
  <si>
    <t>Bijay Bista</t>
  </si>
  <si>
    <t>2082.04.16</t>
  </si>
  <si>
    <t>Sita Karki</t>
  </si>
  <si>
    <t>2082.04.20</t>
  </si>
  <si>
    <t>Mamata Acharya Salary</t>
  </si>
  <si>
    <t>Kamal Karki Salary</t>
  </si>
  <si>
    <t>Ashmita B.K. Salary</t>
  </si>
  <si>
    <t>Prem Prasad Tiwasena Salary</t>
  </si>
  <si>
    <t>SST</t>
  </si>
  <si>
    <t>2082.04.23</t>
  </si>
  <si>
    <t>2082.04.30</t>
  </si>
  <si>
    <t>Stationary</t>
  </si>
  <si>
    <t>Grocery</t>
  </si>
  <si>
    <t>Kitchen</t>
  </si>
  <si>
    <t>Other Office Expenses</t>
  </si>
  <si>
    <t>Fuel</t>
  </si>
  <si>
    <t>Mamata Acharya - Payable</t>
  </si>
  <si>
    <t>2082.05.05</t>
  </si>
  <si>
    <t>2082.05.09</t>
  </si>
  <si>
    <t>Siddhartha Bank</t>
  </si>
  <si>
    <t>Share Advance -Naresh Poudel</t>
  </si>
  <si>
    <t>Samyak Consulting Engineering Pvt. Ltd.</t>
  </si>
  <si>
    <t>Due Diligence Expense</t>
  </si>
  <si>
    <t>TDS PVT LTD</t>
  </si>
  <si>
    <t>2082.05.18</t>
  </si>
  <si>
    <t>Baba Gas</t>
  </si>
  <si>
    <t>2082.05.19</t>
  </si>
  <si>
    <t>Kamal Karki - Site Visit</t>
  </si>
  <si>
    <t>Naresh Poudel - Site Visit</t>
  </si>
  <si>
    <t>2082.06.12</t>
  </si>
  <si>
    <t>Share Advance - Uttam Kumar</t>
  </si>
  <si>
    <t>2082.06.15</t>
  </si>
  <si>
    <t>Buddha Law Assocites Pvt Ltd</t>
  </si>
  <si>
    <t>2082.06.25</t>
  </si>
  <si>
    <t>2082.06.30</t>
  </si>
  <si>
    <t>2082.07.23</t>
  </si>
  <si>
    <t>2082.07.24</t>
  </si>
  <si>
    <t>Meeting Allowance - Presentation feasibility</t>
  </si>
  <si>
    <t>TDS 15%</t>
  </si>
  <si>
    <t>Misceallaneous</t>
  </si>
  <si>
    <t>2082.08.02</t>
  </si>
  <si>
    <t>Bhadra Venture</t>
  </si>
  <si>
    <t>Sky Bridge Tours and Travels Pvt Ltd</t>
  </si>
  <si>
    <t xml:space="preserve">Travelling </t>
  </si>
  <si>
    <t>2082.08.10</t>
  </si>
  <si>
    <t>Share Advance - Shiv Ram Bhandari</t>
  </si>
  <si>
    <t>Mohan Bista - Auditor (SST, TDS, Audit Fee)</t>
  </si>
  <si>
    <t>2082.08.21</t>
  </si>
  <si>
    <t>2082.09.11</t>
  </si>
  <si>
    <t>Share Advance - Bond Construction</t>
  </si>
  <si>
    <t>2082.09.13</t>
  </si>
  <si>
    <t>License Renewal Fee</t>
  </si>
  <si>
    <t>2082.10.08</t>
  </si>
  <si>
    <t>Eakraj Khatiwada - Advance Return</t>
  </si>
  <si>
    <t>Kanchan Sherpa -(Bijay Bista Share Return)</t>
  </si>
  <si>
    <t>Pramod Neupane - (Bijay Bista Share Return)</t>
  </si>
  <si>
    <t>2082.10.07</t>
  </si>
  <si>
    <t>Elite Wires</t>
  </si>
  <si>
    <t>Shree Gas Udhyog</t>
  </si>
  <si>
    <t>Slesha Engineering Consultancy Pvt Ltd</t>
  </si>
  <si>
    <t>2082.10.15</t>
  </si>
  <si>
    <t>Shiva Ram Bhandari - Other Advance</t>
  </si>
  <si>
    <t>2082.12.01</t>
  </si>
  <si>
    <t>2082.10.26</t>
  </si>
  <si>
    <t>Bank Charge</t>
  </si>
  <si>
    <t>2082.12.25</t>
  </si>
  <si>
    <t>2082.12.30</t>
  </si>
  <si>
    <t>2082.03.04</t>
  </si>
  <si>
    <t>Share Advance - I.B. Multipurpose Pvt Ltd</t>
  </si>
  <si>
    <t>2082.03.02</t>
  </si>
  <si>
    <t>2083.03.04</t>
  </si>
  <si>
    <t>Share Advance - Happy Nepal Investment</t>
  </si>
  <si>
    <t>2083.03.03</t>
  </si>
  <si>
    <t>Bidhya Rai - Advance Return</t>
  </si>
  <si>
    <t>2083.03.05</t>
  </si>
  <si>
    <t>Hem Raj Bhattarai - Advance Return</t>
  </si>
  <si>
    <t>Ambe Hydropower Pvt Ltd</t>
  </si>
  <si>
    <t>Divya Jyoti Construction Pvt. Ltd. - Advance Return</t>
  </si>
  <si>
    <t>Environmental Partner</t>
  </si>
  <si>
    <t>IEE Study Expenses</t>
  </si>
  <si>
    <t>2083.03.09</t>
  </si>
  <si>
    <t>Share Capital Advance - Indra Bahadur Bista</t>
  </si>
  <si>
    <t>Share Capital Advance - Tanka Prasad Pandey</t>
  </si>
  <si>
    <t>2083.03.11</t>
  </si>
  <si>
    <t>Babita Katwal</t>
  </si>
  <si>
    <t>Bikram Bista</t>
  </si>
  <si>
    <t>Raj Kumar Mishra</t>
  </si>
  <si>
    <t>2083.03.17</t>
  </si>
  <si>
    <t>Office Furnishing - Pool E</t>
  </si>
  <si>
    <t>Gajulkot Engineering And Construction Pvt. Ltd.</t>
  </si>
  <si>
    <t>Printing &amp; Stationary</t>
  </si>
  <si>
    <t>2083.03.30</t>
  </si>
  <si>
    <t>Pragya Travels And Tours Pvt Ltd</t>
  </si>
  <si>
    <t>TADA</t>
  </si>
  <si>
    <t>Samyog Bashyal</t>
  </si>
  <si>
    <t>Debit</t>
  </si>
  <si>
    <t>Credit</t>
  </si>
  <si>
    <t>Total</t>
  </si>
  <si>
    <t>Opening</t>
  </si>
  <si>
    <t>During the Year</t>
  </si>
  <si>
    <t>Closing</t>
  </si>
  <si>
    <t>Reserve &amp; Surplus</t>
  </si>
  <si>
    <t>Share Capital</t>
  </si>
  <si>
    <t>I.B. Multipurpose Pvt Ltd</t>
  </si>
  <si>
    <t>Happy Nepal Investment</t>
  </si>
  <si>
    <t>Indra Bahadur Bista</t>
  </si>
  <si>
    <t>Tanka Prasad Pandey</t>
  </si>
  <si>
    <t>Kanchan Sherpa</t>
  </si>
  <si>
    <t>Lilamani Pathak</t>
  </si>
  <si>
    <t>Bhadra Ventures Pvt. Ltd.</t>
  </si>
  <si>
    <t>Share - Shivaram Bhandari</t>
  </si>
  <si>
    <t>Share - Indu Bhandari Basnet</t>
  </si>
  <si>
    <t>Share - Nabaraj Tiwari</t>
  </si>
  <si>
    <t>Share - Murali Adhikari</t>
  </si>
  <si>
    <t>Advance for Share Capital</t>
  </si>
  <si>
    <t>Current Liabilities</t>
  </si>
  <si>
    <t>Duties &amp; Taxes</t>
  </si>
  <si>
    <t>TDS on Audit fee</t>
  </si>
  <si>
    <t>TDS on Salary (SST)</t>
  </si>
  <si>
    <t>TDS Pvt Ltd</t>
  </si>
  <si>
    <t>TDS on office Rent</t>
  </si>
  <si>
    <t>TDS on Labour Wages</t>
  </si>
  <si>
    <t>Expenses Payable</t>
  </si>
  <si>
    <t>Audit Fee payable</t>
  </si>
  <si>
    <t>Staff Payable</t>
  </si>
  <si>
    <t>Office Rent Payable</t>
  </si>
  <si>
    <t>Loan &amp; Borrowings</t>
  </si>
  <si>
    <t>Naresh Poudel-Payable</t>
  </si>
  <si>
    <t>Sandip Thapa</t>
  </si>
  <si>
    <t>Shyam Prasad Kuikel</t>
  </si>
  <si>
    <t>Uttam Karki</t>
  </si>
  <si>
    <t>Mamata Acharya - Payables</t>
  </si>
  <si>
    <t>Elite Wire Pvt. Ltd.</t>
  </si>
  <si>
    <t>Basudev Dhiktta</t>
  </si>
  <si>
    <t>Bhadra Ventures Pvt. Ltd</t>
  </si>
  <si>
    <t>Eak Raj Khatiwada</t>
  </si>
  <si>
    <t>Assets</t>
  </si>
  <si>
    <t>Non Current Assets</t>
  </si>
  <si>
    <t>PPE</t>
  </si>
  <si>
    <t>Furniture &amp; Fixtures</t>
  </si>
  <si>
    <t>Vehicles</t>
  </si>
  <si>
    <t>Office Renovation Exp (Pool E)</t>
  </si>
  <si>
    <t>CWIP</t>
  </si>
  <si>
    <t>Survey License Fee</t>
  </si>
  <si>
    <t>PPA Fee</t>
  </si>
  <si>
    <t>Grid Impat Study Expenses (NEA)</t>
  </si>
  <si>
    <t>Bank Charges</t>
  </si>
  <si>
    <t>ERC Approval</t>
  </si>
  <si>
    <t>Salary Expenses</t>
  </si>
  <si>
    <t>Travelling &amp; Site Visit Expenses</t>
  </si>
  <si>
    <t>Labour Wages</t>
  </si>
  <si>
    <t xml:space="preserve">Office Rent </t>
  </si>
  <si>
    <t>Repair &amp; Maintenance Expenses</t>
  </si>
  <si>
    <t>Printing &amp; Stationary Expenses</t>
  </si>
  <si>
    <t>Local Conveyances</t>
  </si>
  <si>
    <t>Office Tiffin Expenses</t>
  </si>
  <si>
    <t>Current Assets</t>
  </si>
  <si>
    <t>Account Receivables</t>
  </si>
  <si>
    <t>Bijaya bista</t>
  </si>
  <si>
    <t>Rajendra Karki-Advance</t>
  </si>
  <si>
    <t>Elite Steel Pvt. Ltd.</t>
  </si>
  <si>
    <t>Elite Power Pvt. Ltd.</t>
  </si>
  <si>
    <t>Consultant Advance</t>
  </si>
  <si>
    <t>Slesha Engineering Consultancy Pvt. Ltd</t>
  </si>
  <si>
    <t xml:space="preserve">Enviromental Partners Pvt.Ltd </t>
  </si>
  <si>
    <t>Mohan Bista (for Audit)</t>
  </si>
  <si>
    <t>Staff Advance Site</t>
  </si>
  <si>
    <t>Kamal Karki</t>
  </si>
  <si>
    <t>Deposit &amp; Margins</t>
  </si>
  <si>
    <t>Cash Margin-PB-NEA</t>
  </si>
  <si>
    <t>Cash and Cash Equivalent</t>
  </si>
  <si>
    <t>Laxmi Sunrise Bank Ltd.</t>
  </si>
  <si>
    <t>Siddartha Bank Ltd.</t>
  </si>
  <si>
    <t>Cash in Hand</t>
  </si>
  <si>
    <t>Expenses</t>
  </si>
  <si>
    <t>Audit Fee</t>
  </si>
  <si>
    <t>Salary</t>
  </si>
  <si>
    <t xml:space="preserve"> </t>
  </si>
  <si>
    <t xml:space="preserve">Dr. </t>
  </si>
  <si>
    <t>Share Capital - Bijay Bista</t>
  </si>
  <si>
    <t>Share Capital - Kanchan Sherpa</t>
  </si>
  <si>
    <t>Share Capital - Lilamani Pathak</t>
  </si>
  <si>
    <t>Share - Bhadra Ventures</t>
  </si>
  <si>
    <t>To,  Share - Shiva Ram Bhandari</t>
  </si>
  <si>
    <t>To, Share - Indu Bhandari Basnet</t>
  </si>
  <si>
    <t>To, Share - Nabaraj Tiwari</t>
  </si>
  <si>
    <t>To, Share - Murali Adhikari</t>
  </si>
  <si>
    <t>(Being share purchased booked on 2082.10.15)</t>
  </si>
  <si>
    <t>Share Advance</t>
  </si>
  <si>
    <t>Share Advance - Naresh Paudel</t>
  </si>
  <si>
    <t>Opening as on 04.01</t>
  </si>
  <si>
    <t>During 10.19 to 03.15</t>
  </si>
  <si>
    <t>Cr.</t>
  </si>
  <si>
    <t>Closing as on 03.15</t>
  </si>
  <si>
    <t>Dr.</t>
  </si>
  <si>
    <t>During 03.15 to 03.32</t>
  </si>
  <si>
    <t>Closing as on 03.32</t>
  </si>
  <si>
    <t>Cosing as on 03.32</t>
  </si>
  <si>
    <t>To, Share Happy Nepal Investment</t>
  </si>
  <si>
    <t>(Being share purchased by Happy Nepal Investment-2083.03.15)</t>
  </si>
  <si>
    <t>Shiva Ram Bhandari</t>
  </si>
  <si>
    <t>To, Mohan Bista</t>
  </si>
  <si>
    <t>To, Mamata Acharya</t>
  </si>
  <si>
    <t>To, Bhadra Ventures</t>
  </si>
  <si>
    <t>To, Elite Steel Pvt. Ltd.</t>
  </si>
  <si>
    <t>To, Kamal Karki</t>
  </si>
  <si>
    <t>To, Buddha Law Associated</t>
  </si>
  <si>
    <t>To, Rajendra Karki</t>
  </si>
  <si>
    <t>(Being payable receivables from same group adjusted)</t>
  </si>
  <si>
    <t>To, Divya Jyoti Construction Pvt. Ltd. - Advance Return</t>
  </si>
  <si>
    <t>To, Shivaram Bhandari</t>
  </si>
  <si>
    <t>Bond Construction</t>
  </si>
  <si>
    <t>(Being amount paid by Rajendra Karki Booked accordingly)</t>
  </si>
  <si>
    <t>Bidhya Rai</t>
  </si>
  <si>
    <t>To, Basudev Dhiktta</t>
  </si>
  <si>
    <t>(Being payment made to Bidhya Rai on behalf of basudev dhikta)</t>
  </si>
  <si>
    <t>Salary - Indira Mishra Karki</t>
  </si>
  <si>
    <t>Staff Salary Payable</t>
  </si>
  <si>
    <t>Rent Payable</t>
  </si>
  <si>
    <t>To, Bikram Bista</t>
  </si>
  <si>
    <t>To, Kanchan Sherpa -(Bijay Bista Share Return)</t>
  </si>
  <si>
    <t>To, Pramod Neupane - (Bijay Bista Share Return)</t>
  </si>
  <si>
    <t>To, Raj Kumar Mishra</t>
  </si>
  <si>
    <t>After 10.18</t>
  </si>
  <si>
    <t>May be this is entered wrong here</t>
  </si>
  <si>
    <t>Statement of Financial Position</t>
  </si>
  <si>
    <t>Restated</t>
  </si>
  <si>
    <t xml:space="preserve">As at </t>
  </si>
  <si>
    <t>Notes</t>
  </si>
  <si>
    <t>32 Ashadh 2082</t>
  </si>
  <si>
    <t>1 Shrawan 2081</t>
  </si>
  <si>
    <t>ASSETS</t>
  </si>
  <si>
    <t>Non-Current Assets</t>
  </si>
  <si>
    <t>Property, Plant and Equipment</t>
  </si>
  <si>
    <t>Project in Progress (WIP)</t>
  </si>
  <si>
    <t>Intangible Assets</t>
  </si>
  <si>
    <t>Investments</t>
  </si>
  <si>
    <t>Other Receivables</t>
  </si>
  <si>
    <t>Total Non-Current Assets</t>
  </si>
  <si>
    <t>Account receivables</t>
  </si>
  <si>
    <t>AS per Tally</t>
  </si>
  <si>
    <t>Inventories</t>
  </si>
  <si>
    <t>Cash and cash equivalents</t>
  </si>
  <si>
    <t>Other current assets</t>
  </si>
  <si>
    <t>Total Current Assets</t>
  </si>
  <si>
    <t>Total Assets</t>
  </si>
  <si>
    <t>EQUITY AND LIABILITIES</t>
  </si>
  <si>
    <t>Equity</t>
  </si>
  <si>
    <t>Calls in Advance</t>
  </si>
  <si>
    <t>Retained Earnings</t>
  </si>
  <si>
    <t>Total Equity</t>
  </si>
  <si>
    <t>Liabilities</t>
  </si>
  <si>
    <t>Non-Current Liabilities</t>
  </si>
  <si>
    <t>Loans and  Borrowings</t>
  </si>
  <si>
    <t>3.10</t>
  </si>
  <si>
    <t>Provision for Employee Benefits</t>
  </si>
  <si>
    <t>Provisions</t>
  </si>
  <si>
    <t>Total Non-Current Liabilities</t>
  </si>
  <si>
    <t>Trade and other payables</t>
  </si>
  <si>
    <t>Income Tax Liability</t>
  </si>
  <si>
    <t>Total Current Liabilities</t>
  </si>
  <si>
    <t>Total Liabilities</t>
  </si>
  <si>
    <t>Total Equity and Liabilities</t>
  </si>
  <si>
    <t>Statement of Income</t>
  </si>
  <si>
    <t>Figures in NPR</t>
  </si>
  <si>
    <t>FY 2081-82</t>
  </si>
  <si>
    <t>Revenue from Operations</t>
  </si>
  <si>
    <t>Interest Income</t>
  </si>
  <si>
    <t>Other Income</t>
  </si>
  <si>
    <t>Total Income</t>
  </si>
  <si>
    <t>Material Consumed Expenses</t>
  </si>
  <si>
    <t>Direct Expenses</t>
  </si>
  <si>
    <t>Employee Benefit Expenses</t>
  </si>
  <si>
    <t>Administrative and Other Expenses</t>
  </si>
  <si>
    <t>Interest Expenses</t>
  </si>
  <si>
    <t>Depreciation and Amortization Expenses</t>
  </si>
  <si>
    <t>3.1 &amp; 3.2</t>
  </si>
  <si>
    <t>Total Expenses</t>
  </si>
  <si>
    <t>Profit Before Tax</t>
  </si>
  <si>
    <t>Income Tax Expense</t>
  </si>
  <si>
    <t>Current year</t>
  </si>
  <si>
    <t>Previous years</t>
  </si>
  <si>
    <t>Net Profit for the year</t>
  </si>
  <si>
    <t>Statement of Changes in Equity</t>
  </si>
  <si>
    <t>Other Reserves</t>
  </si>
  <si>
    <t>Balance at 1 Shrawan 2081</t>
  </si>
  <si>
    <t>Restatements on transition to NAS for MEs</t>
  </si>
  <si>
    <t>Balance at 1 Shrawan 2081 (restated)</t>
  </si>
  <si>
    <t>Profit for the year</t>
  </si>
  <si>
    <t>Issue of Shares</t>
  </si>
  <si>
    <t>Dividends to Shareholders</t>
  </si>
  <si>
    <t>Other Changes</t>
  </si>
  <si>
    <t>Balance at 32 Ashad 2082</t>
  </si>
  <si>
    <t>Balance at 32 Ashad 2083</t>
  </si>
  <si>
    <t>Statement of Cash Flows</t>
  </si>
  <si>
    <t>CASH FLOWS FROM OPERATING ACTIVITIES</t>
  </si>
  <si>
    <t>Adjustment for:</t>
  </si>
  <si>
    <t>Depreciation/Impairment on Property, Plant and Equipment</t>
  </si>
  <si>
    <t>Interest Expense</t>
  </si>
  <si>
    <t>Loss/(gain) on sale of Property, Plant and Equipment</t>
  </si>
  <si>
    <t>Income Tax expense charged to statement of income</t>
  </si>
  <si>
    <t>Working Capital Adjustments</t>
  </si>
  <si>
    <t>Decrease/(Increase) in trade and other receivables</t>
  </si>
  <si>
    <t>Decrease/(Increase) in Inventories</t>
  </si>
  <si>
    <t>Increase/(Decrease) in trade and other payables</t>
  </si>
  <si>
    <t>Increase/(Decrease) Loan and Borrowings</t>
  </si>
  <si>
    <t>Increase/(Decrease) in other liabilities</t>
  </si>
  <si>
    <t>Cash Generated from Operations</t>
  </si>
  <si>
    <t>Interest paid</t>
  </si>
  <si>
    <t>Income tax paid</t>
  </si>
  <si>
    <t>NET CASH FLOWS FROM OPERATING ACTIVITIES (A)</t>
  </si>
  <si>
    <t>CASH FLOW FROM INVESTING ACTIVITIES</t>
  </si>
  <si>
    <t>Proceeds from sale of PPE, Investments/Financial Assets</t>
  </si>
  <si>
    <t>Increase in project WIP</t>
  </si>
  <si>
    <t>Acquisition of Property, Plant and Equipment</t>
  </si>
  <si>
    <t>NET CASH FLOWS FROM INVESTING ACTIVITIES (B)</t>
  </si>
  <si>
    <t>CASH FLOW FROM FINANCING ACTIVITIES</t>
  </si>
  <si>
    <t>Proceeds from the issue of Equity and Preference Share</t>
  </si>
  <si>
    <t>Proceeds from loans and borrowings borrowings</t>
  </si>
  <si>
    <t>Dividend Paid</t>
  </si>
  <si>
    <t>NET CASH FLOW FROM FINANCING ACTIVITIES (C)</t>
  </si>
  <si>
    <t>Net Increase in Cash and Cash Equivalents</t>
  </si>
  <si>
    <t xml:space="preserve">Cash and Cash Equivalents at the beginning </t>
  </si>
  <si>
    <t>Exchange gains/(losses) in cash and cash equivalents</t>
  </si>
  <si>
    <t xml:space="preserve">Cash and Cash Equivalents at the end </t>
  </si>
  <si>
    <t>Notes to Financial Statements</t>
  </si>
  <si>
    <t>Significant Accounting Policies and Notes to Accounts</t>
  </si>
  <si>
    <t>1.       General information</t>
  </si>
  <si>
    <t>Give brief information about the legal status, registered address and nature of the business of the company.</t>
  </si>
  <si>
    <t>The financial statements were authorized to issue by …....... on …........</t>
  </si>
  <si>
    <t>2.    Significant Accounting Policies</t>
  </si>
  <si>
    <t>2.1   Basis of preparation and accounting policies</t>
  </si>
  <si>
    <t>2.1.1  Statement of Compliance</t>
  </si>
  <si>
    <t>These financial statements have been prepared in accordance with Nepal Accounting Standard for Micro Entities (NAS for MEs).</t>
  </si>
  <si>
    <t>2.2.2  Basis of Measurement</t>
  </si>
  <si>
    <t>The financial statements have been prepared on the historical cost basis except investments held-for-trade is measured at fair value.</t>
  </si>
  <si>
    <t>2.2.3  Critical Accounting Estimates</t>
  </si>
  <si>
    <t>The preparation of the financial statemetns in conformity with Nepal Accounting Standards for Micro Entities (NAS fro MEs) requires the use of certain critical accounting estimates and judgements. The company makes certain estimates and assumptions regarding the future events. In the future, actual result may differ from these estimates and assumptions. The estimates and assumptions that have a significant risk of causing a meterial adjustment to the carrying amounts of assets and liabilities within the next financial year are to be disclosed.</t>
  </si>
  <si>
    <t>2.1.4. Functional and Presentation Currency</t>
  </si>
  <si>
    <t>The financial statements are prepared in Nepalese Rupees, which is the Company's functional currency. All the financial information presented in Nepalese Rupees has been rounded to the nearest rupee, except otherwise indicated.</t>
  </si>
  <si>
    <t>2.2    Accounting Policies</t>
  </si>
  <si>
    <t>The pricipal accounting policies adopted in the preparation of the financial statements are set out below. The policies have been consistently applied to all the years presente, unless otherwise stated.</t>
  </si>
  <si>
    <t>2.2.1  Impairment of non-financial assets (excluding inventories)</t>
  </si>
  <si>
    <t>Non-financial assets are subject to impairment tests whenever events or changes in circumstances indicate that their carrying amount may not be recoverable. Where the carrying value of an asset exceeds its recoverable amount, the asset is written down accordingly.</t>
  </si>
  <si>
    <t>Impairment charges are included in profit or loss.</t>
  </si>
  <si>
    <t>2.2.2.  Foreign currency</t>
  </si>
  <si>
    <t>Transactions entered into by company entities in a currency other than the currency of the primary economic environment in which they operate (the functional currency is NPR) are recorded at the rates ruiling when the transactions occur. Foreign currency monetary assets and liablities are translated at the rates ruiling at the reporting date. Exchange differences arising on the retranslation of unsettled monetary assets and liablities are recognized immdediately in profit or loss.</t>
  </si>
  <si>
    <t>2.2.3. Property, plant and equipment</t>
  </si>
  <si>
    <t>Items of property, plant and equipment are initially recognized at cost. Cost includes the purchase price and other directly attributable costs. Subsequently, items of property, plant and equipment are measured at cost less depreciation less impairment.</t>
  </si>
  <si>
    <t>2.2.4. Depreciation</t>
  </si>
  <si>
    <t>Freehold land is not depreciated. Depreciation on assets under construction does not commence until they are complete and available for use. Depreciation is provided on all other items of property, plant and equipment so as to write-off their carrying value over the expected useful economic lives.</t>
  </si>
  <si>
    <t>Depreciation has been computed on SLM/WDV method.</t>
  </si>
  <si>
    <t>2.2.5. Leased Assets</t>
  </si>
  <si>
    <t>When all the risks and rewards incidential to the ownership are not transferred to the company (an operating lease), the total rentals payable under the lease are charged to the statement of income over the lease term.</t>
  </si>
  <si>
    <t>2.2.6. Investments</t>
  </si>
  <si>
    <t>Investments in listed shares</t>
  </si>
  <si>
    <t>Investments in listed shares held for trading are classified as current assets and are stated at quoted market price as at the date of the statement of financial position with any resultant gain or loss recognized in the statement of income.</t>
  </si>
  <si>
    <t>Other investments</t>
  </si>
  <si>
    <t>Other investments are initially measured at cost and subsequently at lower of cost or market price. The provision for impairment is recognized in the statement of income.</t>
  </si>
  <si>
    <t>2.2.7. Trade and other receivables</t>
  </si>
  <si>
    <t>Trade and other receivables are stated at their cost less provision for impairment. The amount of the provision is recognized in the income statement.</t>
  </si>
  <si>
    <t>2.2.8. Inventories</t>
  </si>
  <si>
    <t>Inventories are initially recognized at cost, and subsequently at the lower of cost and net realisable value.</t>
  </si>
  <si>
    <t>The cost is determined on first-out-first (FIFO) method or weighted average method and included expenditure incurred in acquiring the inventories and bringing them to their present location and condition. In the case of manufactured inventories and work-in-progress, cost includes direct material and labour cost and it does not include overheads which is charged to the statemnt of income in the period in which it is incurred.</t>
  </si>
  <si>
    <t>2.2.9. Cash and cash equivalents</t>
  </si>
  <si>
    <t>Cash and cash equivalents comprises cash balances, call deposits and other short term highly liquid investments. Bank overdrafts that are repayble on demand and form and integral part of the company's cash management are included within borrowings in current liabilities on the balance sheet.</t>
  </si>
  <si>
    <t>2.2.10. Share capital</t>
  </si>
  <si>
    <t>Financial instruments issued by the company are classified as equity only to the extent that they do not meet the definition of a financial liability or financial asset the company's equity shares are classified as equity instruments.</t>
  </si>
  <si>
    <t>Preference share capital is classified as equity if it is non-redeemable and any dividends are discretionary at the option of the company. Preference share capital is classified as a liability if it is readable on a specific date or at the option of the shareholders and dividends thereon is recognised in the income statement as interest expense</t>
  </si>
  <si>
    <t>2.2.11. Borrowing costs</t>
  </si>
  <si>
    <t>Interest bearing borrowings are recognized initially at cost, net of attributable transaction costs. Subsequent to initial recognition, interest bearing borrowings are stated at amortized cost. Borrowing costs are charged to the income statement in the period in which it is incurred.</t>
  </si>
  <si>
    <t>Retirement Benefits</t>
  </si>
  <si>
    <t>Defined contribution schemes</t>
  </si>
  <si>
    <t>Benefits payable on contribution scheme is measured and recognized as expenses at the amount that needs to be contributed (whether or not actually contributed; i.e. on accrual basis) by the company during the reporting period.</t>
  </si>
  <si>
    <t>Defined benefit schemes</t>
  </si>
  <si>
    <t>Benefits payable for defined benefit scheme is measured and recognized as a liablity at the amount that would be payable at the end of the reporting period, if the employees leave on that date. Employees who have not completed the minimum period of services to be entitled to the retirement benefit at the end of the reporting period are not considered in the masurement of the liability.</t>
  </si>
  <si>
    <t>2.2.13. Taxation</t>
  </si>
  <si>
    <t>Income tax is the expected tax payable on the taxable income for the year using tax rate at the balance sheet date and any adjustment to tax payable in respect of previous years.</t>
  </si>
  <si>
    <t>Additional income taxs that arise from the distribution of dividends are recognised at the same time as the liability to pay the related  dividend.</t>
  </si>
  <si>
    <t>2.2.14. Government grant/deferred revenue</t>
  </si>
  <si>
    <t>Government grants receipt for capital expenditure are generally deducted in arriving at the carrying amount of the asset purchased. Grants for revenue expenditure are netted against the cost incurred by the company. Where retention of the Government Grant is dependent on the company satisfying certain criteria, it is initially recognised As deferred income. When the criteria for retention have been satisfied, the different income balance is released to the statement of income or netted against the asset purchased.</t>
  </si>
  <si>
    <t>2.2.15. Trade and other payables</t>
  </si>
  <si>
    <t>Trade and other payables are stated at their cost.</t>
  </si>
  <si>
    <t>2.2.16. Provisions</t>
  </si>
  <si>
    <t>The provisions for liabilities of uncertain timing or amount include those for warranty claims, leasehold dilapidations and legal disputes. The provision is measured at the best estimate of the expenditure required to settle the obligation at the reporting date.</t>
  </si>
  <si>
    <t>2.2.17. Income</t>
  </si>
  <si>
    <t>Revenue</t>
  </si>
  <si>
    <t>Renenue for the sale of goods or services is recognized when the company has transferred the significnat risks and rewards of ownership to the buyer and it is probable that the company will receive the previously agreed upon payment.</t>
  </si>
  <si>
    <t>Interest income</t>
  </si>
  <si>
    <t>Interest income are recognized in the statement of income using the effective interest method.</t>
  </si>
  <si>
    <t>Dividend income</t>
  </si>
  <si>
    <t>Dividend income is recognized in the income statement when the right to receive payment is established.</t>
  </si>
  <si>
    <t>2.2.18. Expenses</t>
  </si>
  <si>
    <t>Operating lease payments</t>
  </si>
  <si>
    <t>Payments made under operating lease are recognized in the income statement on a straight -line basis over the term of the lease.</t>
  </si>
  <si>
    <t>Interest</t>
  </si>
  <si>
    <t>Interest expenses are recognized in the statement of income using accrual method.</t>
  </si>
  <si>
    <t>Computer</t>
  </si>
  <si>
    <t>Office Equipments</t>
  </si>
  <si>
    <t>Plant and Machinery</t>
  </si>
  <si>
    <t>Cost</t>
  </si>
  <si>
    <t>Additions</t>
  </si>
  <si>
    <t>Disposals</t>
  </si>
  <si>
    <t>Balance at 32 Ashadh 2082</t>
  </si>
  <si>
    <t>Accumulated depreciation</t>
  </si>
  <si>
    <t>Charge for the year</t>
  </si>
  <si>
    <t>Net Book Value</t>
  </si>
  <si>
    <t>As at 1st Shrawan 2081</t>
  </si>
  <si>
    <t>As at 32nd Ashad 2082</t>
  </si>
  <si>
    <t>3.1.2 Project in Progress (WIP)</t>
  </si>
  <si>
    <t>Project Initial Expenses</t>
  </si>
  <si>
    <t>During the period</t>
  </si>
  <si>
    <t>2081-82</t>
  </si>
  <si>
    <t>Advance for Road Construction</t>
  </si>
  <si>
    <t>Advance for Land Purchase</t>
  </si>
  <si>
    <t>Site Advance</t>
  </si>
  <si>
    <t>Bijaya Bista</t>
  </si>
  <si>
    <t>Ellite Powers Pvt.Ltd</t>
  </si>
  <si>
    <t>Environment Partners Pvt.Ltd</t>
  </si>
  <si>
    <t>Rajendra Karki- Advance</t>
  </si>
  <si>
    <t>Slesha Engineering Consultancy Pvt.Ltd</t>
  </si>
  <si>
    <t>Ellite Steel Pvt.ltd</t>
  </si>
  <si>
    <t>Deposit</t>
  </si>
  <si>
    <t>Non-current portion</t>
  </si>
  <si>
    <t>Current portion</t>
  </si>
  <si>
    <t>Provision for impairment of trade receivables:</t>
  </si>
  <si>
    <t>FY</t>
  </si>
  <si>
    <t>2080-81</t>
  </si>
  <si>
    <t>Balance at the beginning of the year</t>
  </si>
  <si>
    <t>Provided during the year</t>
  </si>
  <si>
    <t xml:space="preserve">Written off during the year </t>
  </si>
  <si>
    <t>Unused provisions reversed</t>
  </si>
  <si>
    <t>Balance at the end of the year</t>
  </si>
  <si>
    <t>Inventories of goods held for resale</t>
  </si>
  <si>
    <t>Cash and Cash Equivalents</t>
  </si>
  <si>
    <t>Cash in hand</t>
  </si>
  <si>
    <t>Siddhartha Bank, Ltd</t>
  </si>
  <si>
    <t>Laxmi Sunrise Bank, Ltd</t>
  </si>
  <si>
    <t>TDS Receivable</t>
  </si>
  <si>
    <t>VAT Receivable</t>
  </si>
  <si>
    <t>Prepayments</t>
  </si>
  <si>
    <t>Loans and Borrowings</t>
  </si>
  <si>
    <t>Total Loans and Borrowings</t>
  </si>
  <si>
    <t>Bank Overdraft</t>
  </si>
  <si>
    <t>Short Term Payable</t>
  </si>
  <si>
    <t>Bhadra Ventures Pvt.Ltd</t>
  </si>
  <si>
    <t>Sandipa Thapa</t>
  </si>
  <si>
    <t>Ellite Wire Pvt.Ltd</t>
  </si>
  <si>
    <t>Non-current loans and borrowings</t>
  </si>
  <si>
    <t>Current loans and borrowings</t>
  </si>
  <si>
    <t>Provision for Gratuity</t>
  </si>
  <si>
    <t>Provision for Leave benefits</t>
  </si>
  <si>
    <t>TDS on Audit Fee</t>
  </si>
  <si>
    <t>TDS on Office Rent</t>
  </si>
  <si>
    <t>Net of TDS</t>
  </si>
  <si>
    <t>Audit Fee Payable</t>
  </si>
  <si>
    <t>TDS on Meeting Fee</t>
  </si>
  <si>
    <t>Other payable</t>
  </si>
  <si>
    <t>Income tax liability</t>
  </si>
  <si>
    <t>Provision for tax</t>
  </si>
  <si>
    <t>Authorized</t>
  </si>
  <si>
    <t>260,000 ordinary shares of NPR 100 each</t>
  </si>
  <si>
    <t>Ordinary Shares Issued and Fully Paid</t>
  </si>
  <si>
    <t xml:space="preserve">Ordinary shares of Rs. 100 each </t>
  </si>
  <si>
    <t>Ordinary</t>
  </si>
  <si>
    <t>share</t>
  </si>
  <si>
    <t>share capital</t>
  </si>
  <si>
    <t>Paid up Share capital</t>
  </si>
  <si>
    <t>Bhadra Ventures Pvt.LTD</t>
  </si>
  <si>
    <t>Shiv Ram Bhandari</t>
  </si>
  <si>
    <t>Uttam Kumar</t>
  </si>
  <si>
    <t xml:space="preserve">New </t>
  </si>
  <si>
    <t>Old</t>
  </si>
  <si>
    <t>Opening balance</t>
  </si>
  <si>
    <t>Net profit for the year</t>
  </si>
  <si>
    <t>Closing balance</t>
  </si>
  <si>
    <t>As per FS</t>
  </si>
  <si>
    <t xml:space="preserve"> Revenue from Operations</t>
  </si>
  <si>
    <t>Sale of goods</t>
  </si>
  <si>
    <t>Rendering of services</t>
  </si>
  <si>
    <t>Other income</t>
  </si>
  <si>
    <t>Commission and incentive</t>
  </si>
  <si>
    <t>Discounts Received</t>
  </si>
  <si>
    <t>Exchange gain</t>
  </si>
  <si>
    <t>Balance on 1 Shrawan</t>
  </si>
  <si>
    <t>Purchase during the period</t>
  </si>
  <si>
    <t>Less: Balance on 32 Ashadh</t>
  </si>
  <si>
    <t>Freight</t>
  </si>
  <si>
    <t>Customs Duty</t>
  </si>
  <si>
    <t>Other Direct Expenses</t>
  </si>
  <si>
    <t>Salary &amp; Allowances</t>
  </si>
  <si>
    <t>Dashain Expenses</t>
  </si>
  <si>
    <t>Staff Welfare</t>
  </si>
  <si>
    <t>PF &amp; Gratuity expense</t>
  </si>
  <si>
    <t>Leave Expense</t>
  </si>
  <si>
    <t>Key management personnel compensation</t>
  </si>
  <si>
    <t>Key management personnel are those persons having authority and responsibility for planning, directing and controlling the activities of the entity, including the directors.</t>
  </si>
  <si>
    <t>Other long-term benefits</t>
  </si>
  <si>
    <t>Total pension and other post-employment benefit costs</t>
  </si>
  <si>
    <t>Compensations for loss of office</t>
  </si>
  <si>
    <t>Share based payment expense</t>
  </si>
  <si>
    <t>Office Administrative and Running Expenses</t>
  </si>
  <si>
    <t>Miscellaneous Expenses</t>
  </si>
  <si>
    <t>Electricity and water</t>
  </si>
  <si>
    <t>Fine &amp; Penalty</t>
  </si>
  <si>
    <t>Insurance</t>
  </si>
  <si>
    <t>Lunch and Refreshment Expenses</t>
  </si>
  <si>
    <t>Telephone, Internet and Hosting Charges</t>
  </si>
  <si>
    <t>POS and Billing Expenses</t>
  </si>
  <si>
    <t>Office Expenses</t>
  </si>
  <si>
    <t>Rates &amp; Taxes</t>
  </si>
  <si>
    <t>Rent Expenses</t>
  </si>
  <si>
    <t>Repair and maintenance</t>
  </si>
  <si>
    <t>Interest expenses</t>
  </si>
  <si>
    <t>Interest expense</t>
  </si>
  <si>
    <t>Other Expenses</t>
  </si>
  <si>
    <t>Loss on sale of investments</t>
  </si>
  <si>
    <t>Tax Expenses</t>
  </si>
  <si>
    <t>Tax on profit for the year</t>
  </si>
  <si>
    <t>Previous year tax</t>
  </si>
  <si>
    <t>Reconciliation of book profits and taxable profits</t>
  </si>
  <si>
    <t>Profit before tax as per books</t>
  </si>
  <si>
    <t>Add: Depreciation as per books</t>
  </si>
  <si>
    <t>Less: Depreciation as per tax</t>
  </si>
  <si>
    <t>Add: Disallowed repairs</t>
  </si>
  <si>
    <t>Add: Gratuity expense as per books</t>
  </si>
  <si>
    <t>Less: Gratuity paid</t>
  </si>
  <si>
    <t>Add: Leave expense as per books</t>
  </si>
  <si>
    <t>Less: Leave paid</t>
  </si>
  <si>
    <t>Less: Fair value gain on investments</t>
  </si>
  <si>
    <t>Add: Exchange loss/(gain) as per books</t>
  </si>
  <si>
    <t>Add: Realized exchange gain/(loss)</t>
  </si>
  <si>
    <t>Add: Difference in profit on sale of investment</t>
  </si>
  <si>
    <t>Add: Disallowed expenses</t>
  </si>
  <si>
    <t>Taxable profit</t>
  </si>
  <si>
    <t>Income tax expense @ 25%</t>
  </si>
  <si>
    <t>3.21. Changes in Accounting Policies (If any)</t>
  </si>
  <si>
    <t>In the current financial year the company changes in accounting policies. This change has been accounted for by restating comparatives and adjusting the opening balance of retained earnings at 01 Shrawan 20XX. The changes in accounting policy, when applied consistently to 20X1 had the follwoing impact: On Opening Retained Earnings; On Net Profit.</t>
  </si>
  <si>
    <t>3.18. Contingencies</t>
  </si>
  <si>
    <t>The company has contingent liabilities in respect of bank and other guarantees and other matters arising in the ordinary course of business. It is not anticipated that any material liablitites will arise from the contingent liabilities.</t>
  </si>
  <si>
    <t>3.19. Related Party Transactions</t>
  </si>
  <si>
    <t>Identity of related parties</t>
  </si>
  <si>
    <t>The company is controlled by (name of the parent company) which owns xx percent of the company's shares. The remaining xx percent shares are widely held. The ultimate parent company of the company is (name of the ultimate parent company) incorporated in (name of the country)</t>
  </si>
  <si>
    <t>The following transactions were carried out with related parties (Give details)</t>
  </si>
  <si>
    <t>Directors of the company and their immediate relatives control xx percent of the voting shares of the company. Loans to directors amounting to NRs xx (20XX: NRs xx) are included in "other receivables". No interest is payable by the directors (for disclose if interest is payable)</t>
  </si>
  <si>
    <t>In additiona to their salaries, the company also provides non-cash benefits to directors and executive officers, and contributes to a post-employment defined benefit plan on their behalf.</t>
  </si>
  <si>
    <t>During the year ended ...... Ashadh 20X2, associates purchased goods from the group in the amount of NRs......</t>
  </si>
  <si>
    <t>NRs xx (20XX: NRs xx) and at ….... Ashadh 20XX associates owed the company NRs xx (20XX: NRs xx). Transactions with associates are priced on an arm's length basis. During the year ended …..... Ashadh 20XX the company repaid a loan of NRs xx received from one of its associates. No dividends were received from associates in 20XX or in 20XX.</t>
  </si>
  <si>
    <t>3.20. Current/Non-current Assets and Liabilities</t>
  </si>
  <si>
    <t>Current assets are expected to be realized within the normal operating cycle of the entity or within twelve months after the reporting period or are intended for sale or consumption within the normal operating cycle of the entity or are held primarily for the prupose of trading or are cash and cash equivalents. All other assets are classified as Non-current assets.</t>
  </si>
  <si>
    <t>Current liabilities are expected to be settled in the entity's normal operating cycle or are primarily held for trading or are due to be settled within a period of twelve months after the reporting period. All other liabilities are classified as non-current liabilities.</t>
  </si>
  <si>
    <t>3.21. Prior period errors</t>
  </si>
  <si>
    <t>Prior period errors are ommissions or misstatements in an entity's financial statements. Such ommissions may relate to one or more prior periods. Correction of an error is done by calculating the cumulative effect of the change on the financial statements of the period as if new method or estimate had always been used for all the affected prior years' financial statements. Sometimes, such changes may not be practicable, in such cases it is applied to the latest period possible by making corresponding adjustment to the opening balance of the period.</t>
  </si>
  <si>
    <t>CALCULATION OF TAXABLE INCOME</t>
  </si>
  <si>
    <t>Add: Exchange loss as per books</t>
  </si>
  <si>
    <t>Add: Realized exchange gain</t>
  </si>
  <si>
    <t>Office Furnishing</t>
  </si>
  <si>
    <t>Opening as on 2082.04.01</t>
  </si>
  <si>
    <t>Closing as on 2082.10.18</t>
  </si>
  <si>
    <t>Magic Arun Hydropower Private Limitd</t>
  </si>
  <si>
    <t>10 Magh 2082</t>
  </si>
  <si>
    <t>Upto 10 Magh 2082</t>
  </si>
  <si>
    <t>As on 10 Magh 2082</t>
  </si>
  <si>
    <t>Buddha Law Associates</t>
  </si>
  <si>
    <t>Samyak Consulting Pvt. Ltd.</t>
  </si>
  <si>
    <t>Bahadur Ventures Pvt. Ltd.</t>
  </si>
  <si>
    <t>Pramod Neupane</t>
  </si>
  <si>
    <t>kanchan Sherpa</t>
  </si>
  <si>
    <t>Shivaram Bhandari</t>
  </si>
  <si>
    <t>Indu Bhandari Basnet</t>
  </si>
  <si>
    <t>Nabaraj Tiwari</t>
  </si>
  <si>
    <t>Murali Adhikari</t>
  </si>
  <si>
    <t>As at</t>
  </si>
  <si>
    <t>18 Magh 2082</t>
  </si>
  <si>
    <t xml:space="preserve">As at 18 Magh 2082 </t>
  </si>
  <si>
    <t xml:space="preserve">For the Year Ended 18 Magh 2082 </t>
  </si>
  <si>
    <t>Upto 18 Magh 2082</t>
  </si>
  <si>
    <t>15 Ashadh 2083</t>
  </si>
  <si>
    <t>As at 15 Asadh 2083</t>
  </si>
  <si>
    <t>Upto 15 Asadh 2083</t>
  </si>
  <si>
    <t>For the Year Ended 15 Asadh 2083</t>
  </si>
  <si>
    <t>Balance at 18 Magh 2082</t>
  </si>
  <si>
    <t>As at 10 Magh 2082</t>
  </si>
  <si>
    <t>As at 18 Magh 2082</t>
  </si>
  <si>
    <t>As on 15 Asadh 2083</t>
  </si>
  <si>
    <t>Balance at 15 Asadh 2083</t>
  </si>
  <si>
    <t>15 Asadh 2083</t>
  </si>
  <si>
    <t>`</t>
  </si>
  <si>
    <t>Hem raj Bhattarai</t>
  </si>
  <si>
    <t>Ambe Hydropower pvt. Ltd</t>
  </si>
  <si>
    <t>TDS Pvt. Ltd.</t>
  </si>
  <si>
    <t>Kamal Karki advance</t>
  </si>
  <si>
    <t>As at 32 Asadh 2083</t>
  </si>
  <si>
    <t>32 Ashadh 2083</t>
  </si>
  <si>
    <t>For the Year Ended 32 Asadh 2083</t>
  </si>
  <si>
    <t>Upto 32 Asadh 2083</t>
  </si>
  <si>
    <t>Balance at 32 Asadh 2083</t>
  </si>
  <si>
    <t>As on 32 Asadh 2083</t>
  </si>
  <si>
    <t>32 Asadh 2083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</si>
</sst>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3" formatCode="_(* #,##0.00_);_(* \(#,##0.00\);_(* &quot;-&quot;??_);_(@_)"/>
    <numFmt numFmtId="164" formatCode="_(* #,##0_);_(* \(#,##0\);_(* &quot;-&quot;??_);_(@_)"/>
  </numFmts>
  <fonts count="42">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b/>
      <sz val="14"/>
      <color theme="1"/>
      <name val="Century Gothic"/>
      <family val="2"/>
    </font>
    <font>
      <sz val="11"/>
      <color theme="1"/>
      <name val="Century Gothic"/>
      <family val="2"/>
    </font>
    <font>
      <b/>
      <sz val="11"/>
      <color theme="1"/>
      <name val="Century Gothic"/>
      <family val="2"/>
    </font>
    <font>
      <sz val="10"/>
      <color theme="1"/>
      <name val="Century Gothic"/>
      <family val="2"/>
    </font>
    <font>
      <sz val="10"/>
      <name val="Arial"/>
      <family val="2"/>
    </font>
    <font>
      <b/>
      <i/>
      <sz val="10"/>
      <name val="Century Gothic"/>
      <family val="2"/>
    </font>
    <font>
      <b/>
      <sz val="10"/>
      <name val="Century Gothic"/>
      <family val="2"/>
    </font>
    <font>
      <b/>
      <sz val="10"/>
      <color theme="1"/>
      <name val="Century Gothic"/>
      <family val="2"/>
    </font>
    <font>
      <b/>
      <sz val="11"/>
      <color theme="1"/>
      <name val="Century Gothic"/>
      <family val="1"/>
    </font>
    <font>
      <b/>
      <i/>
      <sz val="10"/>
      <color theme="1"/>
      <name val="Century Gothic"/>
      <family val="2"/>
    </font>
    <font>
      <sz val="12"/>
      <color theme="1"/>
      <name val="Tw Cen MT"/>
      <family val="2"/>
    </font>
    <font>
      <sz val="12"/>
      <color rgb="FF000000"/>
      <name val="Tw Cen MT"/>
      <family val="2"/>
    </font>
    <font>
      <sz val="10"/>
      <color theme="1"/>
      <name val="Book Antiqua"/>
      <family val="1"/>
    </font>
    <font>
      <sz val="12"/>
      <name val="Tw Cen MT"/>
      <family val="2"/>
    </font>
    <font>
      <b/>
      <sz val="12"/>
      <color theme="1"/>
      <name val="Tw Cen MT"/>
      <family val="2"/>
    </font>
    <font>
      <b/>
      <sz val="12"/>
      <color rgb="FF000000"/>
      <name val="Tw Cen MT"/>
      <family val="2"/>
    </font>
    <font>
      <i/>
      <sz val="12"/>
      <color theme="1"/>
      <name val="Tw Cen MT"/>
      <family val="2"/>
    </font>
    <font>
      <i/>
      <sz val="12"/>
      <color rgb="FF000000"/>
      <name val="Tw Cen MT"/>
      <family val="2"/>
    </font>
    <font>
      <b/>
      <i/>
      <sz val="11"/>
      <color theme="1"/>
      <name val="Century Gothic"/>
      <family val="2"/>
    </font>
    <font>
      <sz val="10"/>
      <color rgb="FF000000"/>
      <name val="Century Gothic"/>
      <family val="2"/>
    </font>
    <font>
      <b/>
      <sz val="10"/>
      <color rgb="FF000000"/>
      <name val="Century Gothic"/>
      <family val="2"/>
    </font>
    <font>
      <b/>
      <sz val="14"/>
      <name val="Century Gothic"/>
      <family val="2"/>
    </font>
    <font>
      <b/>
      <sz val="11"/>
      <name val="Century Gothic"/>
      <family val="2"/>
    </font>
    <font>
      <b/>
      <u/>
      <sz val="10"/>
      <color theme="1"/>
      <name val="Century Gothic"/>
      <family val="2"/>
    </font>
    <font>
      <b/>
      <u/>
      <sz val="10"/>
      <name val="Century Gothic"/>
      <family val="2"/>
    </font>
    <font>
      <sz val="10"/>
      <name val="Century Gothic"/>
      <family val="2"/>
    </font>
    <font>
      <sz val="14"/>
      <name val="Century Gothic"/>
      <family val="2"/>
    </font>
    <font>
      <sz val="11"/>
      <name val="GillSans"/>
    </font>
    <font>
      <sz val="11"/>
      <name val="Century Gothic"/>
      <family val="2"/>
    </font>
    <font>
      <sz val="9"/>
      <color indexed="81"/>
      <name val="Tahoma"/>
      <family val="2"/>
    </font>
    <font>
      <b/>
      <sz val="9"/>
      <color indexed="81"/>
      <name val="Tahoma"/>
      <family val="2"/>
    </font>
    <font>
      <sz val="10"/>
      <color rgb="FFFF0000"/>
      <name val="Century Gothic"/>
      <family val="2"/>
    </font>
    <font>
      <sz val="11"/>
      <color theme="9" tint="-0.499984740745262"/>
      <name val="Aptos Narrow"/>
      <family val="2"/>
      <scheme val="minor"/>
    </font>
    <font>
      <sz val="11"/>
      <color rgb="FF00B050"/>
      <name val="Aptos Narrow"/>
      <family val="2"/>
      <scheme val="minor"/>
    </font>
    <font>
      <b/>
      <sz val="11"/>
      <color rgb="FF00B050"/>
      <name val="Aptos Narrow"/>
      <family val="2"/>
      <scheme val="minor"/>
    </font>
    <font>
      <sz val="10"/>
      <color rgb="FF00B050"/>
      <name val="Century Gothic"/>
      <family val="2"/>
    </font>
    <font>
      <sz val="11"/>
      <color rgb="FF00B050"/>
      <name val="Century Gothic"/>
      <family val="2"/>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medium">
        <color indexed="64"/>
      </top>
      <bottom style="thin">
        <color indexed="64"/>
      </bottom>
      <diagonal/>
    </border>
    <border>
      <left/>
      <right/>
      <top/>
      <bottom style="double">
        <color indexed="64"/>
      </bottom>
      <diagonal/>
    </border>
    <border>
      <left/>
      <right/>
      <top style="double">
        <color indexed="64"/>
      </top>
      <bottom/>
      <diagonal/>
    </border>
    <border>
      <left/>
      <right/>
      <top style="medium">
        <color indexed="64"/>
      </top>
      <bottom style="medium">
        <color indexed="64"/>
      </bottom>
      <diagonal/>
    </border>
    <border>
      <left/>
      <right/>
      <top style="thin">
        <color indexed="64"/>
      </top>
      <bottom style="medium">
        <color indexed="64"/>
      </bottom>
      <diagonal/>
    </border>
  </borders>
  <cellStyleXfs count="13">
    <xf numFmtId="0" fontId="0" fillId="0" borderId="0"/>
    <xf numFmtId="43"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43" fontId="9" fillId="0" borderId="0" applyFont="0" applyFill="0" applyBorder="0" applyAlignment="0" applyProtection="0"/>
    <xf numFmtId="0" fontId="32" fillId="0" borderId="0"/>
    <xf numFmtId="43" fontId="32" fillId="0" borderId="0" applyFont="0" applyFill="0" applyBorder="0" applyAlignment="0" applyProtection="0"/>
    <xf numFmtId="0" fontId="32" fillId="0" borderId="0"/>
    <xf numFmtId="0" fontId="9" fillId="0" borderId="0"/>
    <xf numFmtId="0" fontId="32" fillId="0" borderId="0"/>
    <xf numFmtId="0" fontId="32" fillId="0" borderId="0"/>
    <xf numFmtId="0" fontId="32" fillId="0" borderId="0"/>
    <xf numFmtId="43" fontId="9" fillId="0" borderId="0" applyFont="0" applyFill="0" applyBorder="0" applyAlignment="0" applyProtection="0"/>
  </cellStyleXfs>
  <cellXfs count="370">
    <xf numFmtId="0" fontId="0" fillId="0" borderId="0" xfId="0"/>
    <xf numFmtId="0" fontId="3" fillId="0" borderId="1" xfId="0" applyFont="1" applyBorder="1" applyAlignment="1">
      <alignment horizontal="center" vertical="center"/>
    </xf>
    <xf numFmtId="0" fontId="0" fillId="0" borderId="1" xfId="0" applyBorder="1"/>
    <xf numFmtId="43" fontId="0" fillId="0" borderId="1" xfId="1" applyFont="1" applyBorder="1"/>
    <xf numFmtId="43" fontId="0" fillId="0" borderId="1" xfId="0" applyNumberFormat="1" applyBorder="1"/>
    <xf numFmtId="0" fontId="0" fillId="0" borderId="1" xfId="0" applyBorder="1" applyAlignment="1">
      <alignment wrapText="1"/>
    </xf>
    <xf numFmtId="43" fontId="0" fillId="0" borderId="1" xfId="1" applyFont="1" applyFill="1" applyBorder="1"/>
    <xf numFmtId="0" fontId="3" fillId="0" borderId="0" xfId="0" applyFont="1"/>
    <xf numFmtId="4" fontId="0" fillId="0" borderId="0" xfId="0" applyNumberFormat="1"/>
    <xf numFmtId="4" fontId="3" fillId="0" borderId="0" xfId="0" applyNumberFormat="1" applyFont="1"/>
    <xf numFmtId="43" fontId="0" fillId="0" borderId="0" xfId="1" applyFont="1"/>
    <xf numFmtId="164" fontId="0" fillId="0" borderId="0" xfId="1" applyNumberFormat="1" applyFont="1"/>
    <xf numFmtId="164" fontId="3" fillId="0" borderId="0" xfId="1" applyNumberFormat="1" applyFont="1"/>
    <xf numFmtId="43" fontId="0" fillId="0" borderId="1" xfId="1" applyFont="1" applyFill="1" applyBorder="1" applyAlignment="1">
      <alignment horizontal="left" vertical="center"/>
    </xf>
    <xf numFmtId="43" fontId="1" fillId="0" borderId="1" xfId="1" applyFont="1" applyFill="1" applyBorder="1" applyAlignment="1">
      <alignment horizontal="left" vertical="center"/>
    </xf>
    <xf numFmtId="43" fontId="1" fillId="0" borderId="1" xfId="1" applyFont="1" applyFill="1" applyBorder="1"/>
    <xf numFmtId="43" fontId="0" fillId="0" borderId="0" xfId="0" applyNumberFormat="1"/>
    <xf numFmtId="43" fontId="3" fillId="0" borderId="1" xfId="0" applyNumberFormat="1" applyFont="1" applyBorder="1"/>
    <xf numFmtId="0" fontId="0" fillId="2" borderId="0" xfId="0" applyFill="1"/>
    <xf numFmtId="0" fontId="0" fillId="2" borderId="1" xfId="0" applyFill="1" applyBorder="1"/>
    <xf numFmtId="43" fontId="0" fillId="2" borderId="1" xfId="1" applyFont="1" applyFill="1" applyBorder="1"/>
    <xf numFmtId="0" fontId="0" fillId="2" borderId="1" xfId="0" applyFill="1" applyBorder="1" applyAlignment="1">
      <alignment horizontal="left" indent="2"/>
    </xf>
    <xf numFmtId="43" fontId="3" fillId="2" borderId="1" xfId="0" applyNumberFormat="1" applyFont="1" applyFill="1" applyBorder="1"/>
    <xf numFmtId="43" fontId="3" fillId="0" borderId="0" xfId="1" applyFont="1" applyFill="1" applyBorder="1"/>
    <xf numFmtId="43" fontId="0" fillId="0" borderId="0" xfId="1" applyFont="1" applyFill="1" applyBorder="1" applyAlignment="1">
      <alignment horizontal="left" vertical="center"/>
    </xf>
    <xf numFmtId="43" fontId="0" fillId="0" borderId="0" xfId="1" applyFont="1" applyFill="1" applyBorder="1"/>
    <xf numFmtId="164" fontId="3" fillId="0" borderId="3" xfId="1" applyNumberFormat="1" applyFont="1" applyFill="1" applyBorder="1" applyAlignment="1">
      <alignment vertical="center"/>
    </xf>
    <xf numFmtId="164" fontId="3" fillId="3" borderId="4" xfId="1" applyNumberFormat="1" applyFont="1" applyFill="1" applyBorder="1" applyAlignment="1">
      <alignment vertical="center"/>
    </xf>
    <xf numFmtId="164" fontId="3" fillId="0" borderId="4" xfId="1" applyNumberFormat="1" applyFont="1" applyFill="1" applyBorder="1" applyAlignment="1">
      <alignment vertical="center"/>
    </xf>
    <xf numFmtId="164" fontId="3" fillId="0" borderId="4" xfId="1" applyNumberFormat="1" applyFont="1" applyBorder="1" applyAlignment="1"/>
    <xf numFmtId="164" fontId="0" fillId="0" borderId="5" xfId="1" applyNumberFormat="1" applyFont="1" applyBorder="1" applyAlignment="1"/>
    <xf numFmtId="164" fontId="3" fillId="0" borderId="2" xfId="1" applyNumberFormat="1" applyFont="1" applyFill="1" applyBorder="1" applyAlignment="1">
      <alignment vertical="center"/>
    </xf>
    <xf numFmtId="164" fontId="3" fillId="3" borderId="0" xfId="1" applyNumberFormat="1" applyFont="1" applyFill="1" applyBorder="1" applyAlignment="1">
      <alignment horizontal="center" vertical="center"/>
    </xf>
    <xf numFmtId="164" fontId="3" fillId="0" borderId="0" xfId="1" applyNumberFormat="1" applyFont="1" applyFill="1" applyBorder="1" applyAlignment="1">
      <alignment horizontal="center" vertical="center"/>
    </xf>
    <xf numFmtId="164" fontId="3" fillId="0" borderId="0" xfId="1" applyNumberFormat="1" applyFont="1" applyBorder="1"/>
    <xf numFmtId="164" fontId="0" fillId="0" borderId="6" xfId="1" applyNumberFormat="1" applyFont="1" applyBorder="1"/>
    <xf numFmtId="164" fontId="3" fillId="0" borderId="2" xfId="1" applyNumberFormat="1" applyFont="1" applyFill="1" applyBorder="1" applyAlignment="1">
      <alignment horizontal="left" vertical="center"/>
    </xf>
    <xf numFmtId="164" fontId="1" fillId="3" borderId="0" xfId="1" applyNumberFormat="1" applyFont="1" applyFill="1" applyBorder="1" applyAlignment="1">
      <alignment horizontal="center" vertical="center"/>
    </xf>
    <xf numFmtId="164" fontId="0" fillId="0" borderId="0" xfId="1" applyNumberFormat="1" applyFont="1" applyBorder="1"/>
    <xf numFmtId="164" fontId="3" fillId="3" borderId="0" xfId="1" applyNumberFormat="1" applyFont="1" applyFill="1" applyBorder="1"/>
    <xf numFmtId="164" fontId="3" fillId="0" borderId="0" xfId="1" applyNumberFormat="1" applyFont="1" applyFill="1" applyBorder="1"/>
    <xf numFmtId="164" fontId="0" fillId="0" borderId="2" xfId="1" applyNumberFormat="1" applyFont="1" applyFill="1" applyBorder="1" applyAlignment="1">
      <alignment horizontal="left" vertical="center"/>
    </xf>
    <xf numFmtId="164" fontId="0" fillId="3" borderId="0" xfId="1" applyNumberFormat="1" applyFont="1" applyFill="1" applyBorder="1"/>
    <xf numFmtId="164" fontId="0" fillId="0" borderId="0" xfId="1" applyNumberFormat="1" applyFont="1" applyFill="1" applyBorder="1"/>
    <xf numFmtId="164" fontId="1" fillId="0" borderId="2" xfId="1" applyNumberFormat="1" applyFont="1" applyFill="1" applyBorder="1" applyAlignment="1">
      <alignment horizontal="left" vertical="center"/>
    </xf>
    <xf numFmtId="164" fontId="1" fillId="0" borderId="0" xfId="1" applyNumberFormat="1" applyFont="1" applyFill="1" applyBorder="1"/>
    <xf numFmtId="164" fontId="0" fillId="0" borderId="2" xfId="1" applyNumberFormat="1" applyFont="1" applyBorder="1"/>
    <xf numFmtId="164" fontId="0" fillId="0" borderId="2" xfId="1" applyNumberFormat="1" applyFont="1" applyBorder="1" applyAlignment="1">
      <alignment horizontal="left" vertical="center"/>
    </xf>
    <xf numFmtId="164" fontId="1" fillId="3" borderId="0" xfId="1" applyNumberFormat="1" applyFont="1" applyFill="1" applyBorder="1"/>
    <xf numFmtId="164" fontId="3" fillId="0" borderId="7" xfId="1" applyNumberFormat="1" applyFont="1" applyFill="1" applyBorder="1" applyAlignment="1">
      <alignment horizontal="left" vertical="center"/>
    </xf>
    <xf numFmtId="164" fontId="3" fillId="3" borderId="8" xfId="1" applyNumberFormat="1" applyFont="1" applyFill="1" applyBorder="1"/>
    <xf numFmtId="164" fontId="3" fillId="0" borderId="8" xfId="1" applyNumberFormat="1" applyFont="1" applyFill="1" applyBorder="1"/>
    <xf numFmtId="164" fontId="3" fillId="0" borderId="8" xfId="1" applyNumberFormat="1" applyFont="1" applyBorder="1"/>
    <xf numFmtId="164" fontId="3" fillId="0" borderId="9" xfId="1" applyNumberFormat="1" applyFont="1" applyBorder="1"/>
    <xf numFmtId="164" fontId="0" fillId="0" borderId="0" xfId="0" applyNumberFormat="1"/>
    <xf numFmtId="9" fontId="0" fillId="0" borderId="1" xfId="3" applyFont="1" applyFill="1" applyBorder="1"/>
    <xf numFmtId="0" fontId="0" fillId="4" borderId="0" xfId="0" applyFill="1"/>
    <xf numFmtId="164" fontId="3" fillId="4" borderId="4" xfId="1" applyNumberFormat="1" applyFont="1" applyFill="1" applyBorder="1" applyAlignment="1">
      <alignment vertical="center"/>
    </xf>
    <xf numFmtId="164" fontId="3" fillId="4" borderId="0" xfId="1" applyNumberFormat="1" applyFont="1" applyFill="1" applyBorder="1" applyAlignment="1">
      <alignment horizontal="center" vertical="center"/>
    </xf>
    <xf numFmtId="164" fontId="1" fillId="4" borderId="0" xfId="1" applyNumberFormat="1" applyFont="1" applyFill="1" applyBorder="1" applyAlignment="1">
      <alignment horizontal="center" vertical="center"/>
    </xf>
    <xf numFmtId="164" fontId="3" fillId="4" borderId="0" xfId="1" applyNumberFormat="1" applyFont="1" applyFill="1" applyBorder="1"/>
    <xf numFmtId="164" fontId="0" fillId="4" borderId="0" xfId="1" applyNumberFormat="1" applyFont="1" applyFill="1" applyBorder="1"/>
    <xf numFmtId="164" fontId="1" fillId="4" borderId="0" xfId="1" applyNumberFormat="1" applyFont="1" applyFill="1" applyBorder="1"/>
    <xf numFmtId="164" fontId="3" fillId="4" borderId="8" xfId="1" applyNumberFormat="1" applyFont="1" applyFill="1" applyBorder="1"/>
    <xf numFmtId="43" fontId="0" fillId="4" borderId="0" xfId="0" applyNumberFormat="1" applyFill="1"/>
    <xf numFmtId="43" fontId="0" fillId="4" borderId="1" xfId="0" applyNumberFormat="1" applyFill="1" applyBorder="1"/>
    <xf numFmtId="43" fontId="0" fillId="4" borderId="1" xfId="1" applyFont="1" applyFill="1" applyBorder="1"/>
    <xf numFmtId="164" fontId="0" fillId="5" borderId="0" xfId="1" applyNumberFormat="1" applyFont="1" applyFill="1"/>
    <xf numFmtId="0" fontId="0" fillId="4" borderId="1" xfId="0" applyFill="1" applyBorder="1"/>
    <xf numFmtId="43" fontId="0" fillId="5" borderId="1" xfId="1" applyFont="1" applyFill="1" applyBorder="1"/>
    <xf numFmtId="43" fontId="0" fillId="5" borderId="1" xfId="0" applyNumberFormat="1" applyFill="1" applyBorder="1"/>
    <xf numFmtId="43" fontId="4" fillId="0" borderId="0" xfId="1" applyFont="1"/>
    <xf numFmtId="0" fontId="0" fillId="5" borderId="1" xfId="0" applyFill="1" applyBorder="1"/>
    <xf numFmtId="43" fontId="1" fillId="5" borderId="1" xfId="1" applyFont="1" applyFill="1" applyBorder="1"/>
    <xf numFmtId="164" fontId="0" fillId="6" borderId="2" xfId="1" applyNumberFormat="1" applyFont="1" applyFill="1" applyBorder="1" applyAlignment="1">
      <alignment horizontal="left" vertical="center"/>
    </xf>
    <xf numFmtId="164" fontId="3" fillId="6" borderId="0" xfId="1" applyNumberFormat="1" applyFont="1" applyFill="1" applyBorder="1"/>
    <xf numFmtId="164" fontId="0" fillId="6" borderId="0" xfId="1" applyNumberFormat="1" applyFont="1" applyFill="1" applyBorder="1"/>
    <xf numFmtId="164" fontId="0" fillId="6" borderId="6" xfId="1" applyNumberFormat="1" applyFont="1" applyFill="1" applyBorder="1"/>
    <xf numFmtId="164" fontId="0" fillId="6" borderId="0" xfId="1" applyNumberFormat="1" applyFont="1" applyFill="1"/>
    <xf numFmtId="164" fontId="1" fillId="6" borderId="0" xfId="1" applyNumberFormat="1" applyFont="1" applyFill="1" applyBorder="1"/>
    <xf numFmtId="164" fontId="0" fillId="6" borderId="0" xfId="0" applyNumberFormat="1" applyFill="1"/>
    <xf numFmtId="0" fontId="0" fillId="6" borderId="0" xfId="0" applyFill="1"/>
    <xf numFmtId="0" fontId="5" fillId="0" borderId="0" xfId="0" applyFont="1" applyAlignment="1">
      <alignment horizontal="center" vertical="center"/>
    </xf>
    <xf numFmtId="0" fontId="6" fillId="0" borderId="0" xfId="0" applyFont="1" applyAlignment="1">
      <alignment vertical="center"/>
    </xf>
    <xf numFmtId="43" fontId="6" fillId="0" borderId="0" xfId="1" applyFont="1" applyAlignment="1">
      <alignment vertical="center"/>
    </xf>
    <xf numFmtId="0" fontId="7" fillId="0" borderId="0" xfId="0" applyFont="1" applyAlignment="1">
      <alignment horizontal="center" vertical="center"/>
    </xf>
    <xf numFmtId="0" fontId="7" fillId="0" borderId="0" xfId="0" applyFont="1" applyAlignment="1">
      <alignment vertical="center"/>
    </xf>
    <xf numFmtId="43" fontId="7" fillId="0" borderId="0" xfId="1" applyFont="1" applyAlignment="1">
      <alignment vertical="center"/>
    </xf>
    <xf numFmtId="0" fontId="8" fillId="0" borderId="0" xfId="0" applyFont="1" applyAlignment="1">
      <alignment vertical="center"/>
    </xf>
    <xf numFmtId="0" fontId="8" fillId="0" borderId="0" xfId="0" applyFont="1" applyAlignment="1">
      <alignment horizontal="center" vertical="center"/>
    </xf>
    <xf numFmtId="43" fontId="10" fillId="0" borderId="0" xfId="4" applyFont="1" applyFill="1" applyAlignment="1">
      <alignment horizontal="center" wrapText="1"/>
    </xf>
    <xf numFmtId="42" fontId="11" fillId="0" borderId="0" xfId="2" applyFont="1" applyFill="1" applyAlignment="1">
      <alignment horizontal="center"/>
    </xf>
    <xf numFmtId="0" fontId="12" fillId="0" borderId="10" xfId="0" applyFont="1" applyBorder="1" applyAlignment="1">
      <alignment vertical="center"/>
    </xf>
    <xf numFmtId="0" fontId="12" fillId="0" borderId="10" xfId="0" applyFont="1" applyBorder="1" applyAlignment="1">
      <alignment horizontal="center" vertical="center"/>
    </xf>
    <xf numFmtId="0" fontId="11" fillId="0" borderId="10" xfId="0" applyFont="1" applyBorder="1" applyAlignment="1">
      <alignment horizontal="center"/>
    </xf>
    <xf numFmtId="0" fontId="12" fillId="0" borderId="0" xfId="0" applyFont="1" applyAlignment="1">
      <alignment vertical="center"/>
    </xf>
    <xf numFmtId="0" fontId="12" fillId="0" borderId="0" xfId="0" applyFont="1" applyAlignment="1">
      <alignment horizontal="center" vertical="center"/>
    </xf>
    <xf numFmtId="0" fontId="8" fillId="0" borderId="0" xfId="0" applyFont="1" applyAlignment="1">
      <alignment horizontal="left" vertical="center" indent="2"/>
    </xf>
    <xf numFmtId="164" fontId="8" fillId="0" borderId="0" xfId="1" applyNumberFormat="1" applyFont="1" applyFill="1" applyBorder="1" applyAlignment="1">
      <alignment horizontal="center" vertical="center"/>
    </xf>
    <xf numFmtId="164" fontId="13" fillId="0" borderId="0" xfId="0" applyNumberFormat="1" applyFont="1" applyAlignment="1">
      <alignment vertical="center"/>
    </xf>
    <xf numFmtId="164" fontId="6" fillId="0" borderId="0" xfId="0" applyNumberFormat="1" applyFont="1" applyAlignment="1">
      <alignment vertical="center"/>
    </xf>
    <xf numFmtId="164" fontId="8" fillId="0" borderId="8" xfId="1" applyNumberFormat="1" applyFont="1" applyFill="1" applyBorder="1" applyAlignment="1">
      <alignment horizontal="center" vertical="center"/>
    </xf>
    <xf numFmtId="43" fontId="6" fillId="0" borderId="0" xfId="0" applyNumberFormat="1" applyFont="1" applyAlignment="1">
      <alignment vertical="center"/>
    </xf>
    <xf numFmtId="164" fontId="12" fillId="0" borderId="8" xfId="1" applyNumberFormat="1" applyFont="1" applyFill="1" applyBorder="1" applyAlignment="1">
      <alignment horizontal="center" vertical="center"/>
    </xf>
    <xf numFmtId="164" fontId="12" fillId="0" borderId="0" xfId="1" applyNumberFormat="1" applyFont="1" applyFill="1" applyBorder="1" applyAlignment="1">
      <alignment horizontal="center" vertical="center"/>
    </xf>
    <xf numFmtId="164" fontId="12" fillId="0" borderId="11" xfId="1" applyNumberFormat="1" applyFont="1" applyFill="1" applyBorder="1" applyAlignment="1">
      <alignment horizontal="center" vertical="center"/>
    </xf>
    <xf numFmtId="164" fontId="12" fillId="0" borderId="12" xfId="1" applyNumberFormat="1" applyFont="1" applyFill="1" applyBorder="1" applyAlignment="1">
      <alignment horizontal="center" vertical="center"/>
    </xf>
    <xf numFmtId="164" fontId="12" fillId="0" borderId="12" xfId="0" applyNumberFormat="1" applyFont="1" applyBorder="1" applyAlignment="1">
      <alignment horizontal="center" vertical="center"/>
    </xf>
    <xf numFmtId="164" fontId="7" fillId="0" borderId="0" xfId="0" applyNumberFormat="1" applyFont="1" applyAlignment="1">
      <alignment vertical="center"/>
    </xf>
    <xf numFmtId="164" fontId="12" fillId="0" borderId="11" xfId="0" applyNumberFormat="1" applyFont="1" applyBorder="1" applyAlignment="1">
      <alignment horizontal="center" vertical="center"/>
    </xf>
    <xf numFmtId="0" fontId="8" fillId="0" borderId="0" xfId="0" quotePrefix="1" applyFont="1" applyAlignment="1">
      <alignment horizontal="center" vertical="center"/>
    </xf>
    <xf numFmtId="2" fontId="8" fillId="0" borderId="0" xfId="0" quotePrefix="1" applyNumberFormat="1" applyFont="1" applyAlignment="1">
      <alignment horizontal="center" vertical="center"/>
    </xf>
    <xf numFmtId="2" fontId="8" fillId="0" borderId="0" xfId="0" applyNumberFormat="1" applyFont="1" applyAlignment="1">
      <alignment horizontal="center" vertical="center"/>
    </xf>
    <xf numFmtId="164" fontId="12" fillId="0" borderId="8" xfId="0" applyNumberFormat="1" applyFont="1" applyBorder="1" applyAlignment="1">
      <alignment horizontal="center" vertical="center"/>
    </xf>
    <xf numFmtId="164" fontId="12" fillId="0" borderId="0" xfId="0" applyNumberFormat="1" applyFont="1" applyAlignment="1">
      <alignment horizontal="center" vertical="center"/>
    </xf>
    <xf numFmtId="164" fontId="6" fillId="0" borderId="0" xfId="0" applyNumberFormat="1" applyFont="1" applyAlignment="1">
      <alignment horizontal="center" vertical="center"/>
    </xf>
    <xf numFmtId="43" fontId="6" fillId="0" borderId="0" xfId="1" applyFont="1" applyFill="1" applyAlignment="1">
      <alignment horizontal="center" vertical="center"/>
    </xf>
    <xf numFmtId="43" fontId="6" fillId="0" borderId="0" xfId="0" applyNumberFormat="1" applyFont="1" applyAlignment="1">
      <alignment horizontal="center" vertical="center"/>
    </xf>
    <xf numFmtId="0" fontId="6" fillId="0" borderId="0" xfId="0" applyFont="1" applyAlignment="1">
      <alignment horizontal="center" vertical="center"/>
    </xf>
    <xf numFmtId="0" fontId="14" fillId="0" borderId="0" xfId="0" applyFont="1" applyAlignment="1">
      <alignment horizontal="right" vertical="center"/>
    </xf>
    <xf numFmtId="0" fontId="10" fillId="0" borderId="10" xfId="0" applyFont="1" applyBorder="1" applyAlignment="1">
      <alignment horizontal="center" vertical="center"/>
    </xf>
    <xf numFmtId="0" fontId="15" fillId="0" borderId="0" xfId="0" applyFont="1" applyAlignment="1">
      <alignment vertical="center"/>
    </xf>
    <xf numFmtId="0" fontId="15" fillId="0" borderId="0" xfId="0" applyFont="1" applyAlignment="1">
      <alignment horizontal="center" vertical="center"/>
    </xf>
    <xf numFmtId="164" fontId="16" fillId="0" borderId="0" xfId="1" applyNumberFormat="1" applyFont="1" applyFill="1" applyBorder="1" applyAlignment="1">
      <alignment horizontal="center" vertical="center"/>
    </xf>
    <xf numFmtId="43" fontId="17" fillId="0" borderId="0" xfId="1" applyFont="1" applyBorder="1"/>
    <xf numFmtId="164" fontId="18" fillId="0" borderId="0" xfId="1" applyNumberFormat="1" applyFont="1" applyFill="1"/>
    <xf numFmtId="0" fontId="19" fillId="0" borderId="0" xfId="0" applyFont="1" applyAlignment="1">
      <alignment vertical="center"/>
    </xf>
    <xf numFmtId="0" fontId="19" fillId="0" borderId="0" xfId="0" applyFont="1" applyAlignment="1">
      <alignment horizontal="center" vertical="center"/>
    </xf>
    <xf numFmtId="164" fontId="20" fillId="0" borderId="11" xfId="0" applyNumberFormat="1" applyFont="1" applyBorder="1" applyAlignment="1">
      <alignment horizontal="center" vertical="center"/>
    </xf>
    <xf numFmtId="41" fontId="20" fillId="0" borderId="11" xfId="0" applyNumberFormat="1" applyFont="1" applyBorder="1" applyAlignment="1">
      <alignment horizontal="center" vertical="center"/>
    </xf>
    <xf numFmtId="164" fontId="20" fillId="0" borderId="11" xfId="1" applyNumberFormat="1" applyFont="1" applyFill="1" applyBorder="1" applyAlignment="1">
      <alignment horizontal="center" vertical="center"/>
    </xf>
    <xf numFmtId="2" fontId="15" fillId="0" borderId="0" xfId="0" applyNumberFormat="1" applyFont="1" applyAlignment="1">
      <alignment horizontal="center" vertical="center"/>
    </xf>
    <xf numFmtId="164" fontId="20" fillId="0" borderId="0" xfId="0" applyNumberFormat="1" applyFont="1" applyAlignment="1">
      <alignment horizontal="center" vertical="center"/>
    </xf>
    <xf numFmtId="0" fontId="21" fillId="0" borderId="0" xfId="0" quotePrefix="1" applyFont="1" applyAlignment="1">
      <alignment horizontal="left" vertical="center" indent="3"/>
    </xf>
    <xf numFmtId="164" fontId="22" fillId="0" borderId="0" xfId="1" applyNumberFormat="1" applyFont="1" applyFill="1" applyBorder="1" applyAlignment="1">
      <alignment horizontal="center" vertical="center"/>
    </xf>
    <xf numFmtId="0" fontId="21" fillId="0" borderId="0" xfId="0" applyFont="1" applyAlignment="1">
      <alignment horizontal="left" vertical="center" indent="3"/>
    </xf>
    <xf numFmtId="164" fontId="22" fillId="0" borderId="8" xfId="1" applyNumberFormat="1" applyFont="1" applyFill="1" applyBorder="1" applyAlignment="1">
      <alignment horizontal="center" vertical="center"/>
    </xf>
    <xf numFmtId="164" fontId="20" fillId="0" borderId="12" xfId="1" applyNumberFormat="1" applyFont="1" applyFill="1" applyBorder="1" applyAlignment="1">
      <alignment horizontal="center" vertical="center"/>
    </xf>
    <xf numFmtId="164" fontId="20" fillId="0" borderId="12" xfId="0" applyNumberFormat="1" applyFont="1" applyBorder="1" applyAlignment="1">
      <alignment horizontal="center" vertical="center"/>
    </xf>
    <xf numFmtId="0" fontId="23" fillId="0" borderId="0" xfId="0" applyFont="1" applyAlignment="1">
      <alignment horizontal="right" vertical="center"/>
    </xf>
    <xf numFmtId="0" fontId="12" fillId="0" borderId="10" xfId="0" applyFont="1" applyBorder="1" applyAlignment="1">
      <alignment vertical="center" wrapText="1"/>
    </xf>
    <xf numFmtId="0" fontId="12" fillId="0" borderId="10" xfId="0" applyFont="1" applyBorder="1" applyAlignment="1">
      <alignment horizontal="center" vertical="center" wrapText="1"/>
    </xf>
    <xf numFmtId="0" fontId="7" fillId="0" borderId="0" xfId="0" applyFont="1" applyAlignment="1">
      <alignment vertical="center" wrapText="1"/>
    </xf>
    <xf numFmtId="0" fontId="12" fillId="0" borderId="13" xfId="0" applyFont="1" applyBorder="1" applyAlignment="1">
      <alignment vertical="center"/>
    </xf>
    <xf numFmtId="0" fontId="8" fillId="0" borderId="13" xfId="0" applyFont="1" applyBorder="1" applyAlignment="1">
      <alignment vertical="center"/>
    </xf>
    <xf numFmtId="164" fontId="24" fillId="0" borderId="13" xfId="1" applyNumberFormat="1" applyFont="1" applyFill="1" applyBorder="1" applyAlignment="1">
      <alignment horizontal="center" vertical="center"/>
    </xf>
    <xf numFmtId="164" fontId="25" fillId="0" borderId="13" xfId="1" applyNumberFormat="1" applyFont="1" applyFill="1" applyBorder="1" applyAlignment="1">
      <alignment horizontal="center" vertical="center"/>
    </xf>
    <xf numFmtId="0" fontId="8" fillId="0" borderId="11" xfId="0" applyFont="1" applyBorder="1" applyAlignment="1">
      <alignment vertical="center"/>
    </xf>
    <xf numFmtId="164" fontId="24" fillId="0" borderId="11" xfId="1" applyNumberFormat="1" applyFont="1" applyFill="1" applyBorder="1" applyAlignment="1">
      <alignment horizontal="center" vertical="center"/>
    </xf>
    <xf numFmtId="164" fontId="25" fillId="0" borderId="11" xfId="1" applyNumberFormat="1" applyFont="1" applyFill="1" applyBorder="1" applyAlignment="1">
      <alignment horizontal="center" vertical="center"/>
    </xf>
    <xf numFmtId="0" fontId="12" fillId="0" borderId="11" xfId="0" applyFont="1" applyBorder="1" applyAlignment="1">
      <alignment vertical="center"/>
    </xf>
    <xf numFmtId="164" fontId="24" fillId="0" borderId="0" xfId="1" applyNumberFormat="1" applyFont="1" applyFill="1" applyBorder="1" applyAlignment="1">
      <alignment horizontal="center" vertical="center"/>
    </xf>
    <xf numFmtId="164" fontId="25" fillId="0" borderId="0" xfId="1" applyNumberFormat="1" applyFont="1" applyFill="1" applyBorder="1" applyAlignment="1">
      <alignment horizontal="center" vertical="center"/>
    </xf>
    <xf numFmtId="0" fontId="8" fillId="0" borderId="8" xfId="0" applyFont="1" applyBorder="1" applyAlignment="1">
      <alignment vertical="center"/>
    </xf>
    <xf numFmtId="164" fontId="6" fillId="0" borderId="0" xfId="1" applyNumberFormat="1" applyFont="1" applyFill="1" applyBorder="1" applyAlignment="1">
      <alignment vertical="center"/>
    </xf>
    <xf numFmtId="0" fontId="6" fillId="0" borderId="8" xfId="0" applyFont="1" applyBorder="1" applyAlignment="1">
      <alignment vertical="center"/>
    </xf>
    <xf numFmtId="164" fontId="6" fillId="0" borderId="8" xfId="1" applyNumberFormat="1" applyFont="1" applyFill="1" applyBorder="1" applyAlignment="1">
      <alignment vertical="center"/>
    </xf>
    <xf numFmtId="0" fontId="7" fillId="0" borderId="11" xfId="0" applyFont="1" applyBorder="1" applyAlignment="1">
      <alignment vertical="center"/>
    </xf>
    <xf numFmtId="164" fontId="7" fillId="0" borderId="11" xfId="1" applyNumberFormat="1" applyFont="1" applyFill="1" applyBorder="1" applyAlignment="1">
      <alignment vertical="center"/>
    </xf>
    <xf numFmtId="164" fontId="12" fillId="0" borderId="0" xfId="1" applyNumberFormat="1" applyFont="1" applyFill="1" applyAlignment="1">
      <alignment vertical="center"/>
    </xf>
    <xf numFmtId="164" fontId="14" fillId="0" borderId="0" xfId="1" applyNumberFormat="1" applyFont="1" applyAlignment="1">
      <alignment horizontal="right" vertical="center"/>
    </xf>
    <xf numFmtId="164" fontId="12" fillId="0" borderId="10" xfId="1" applyNumberFormat="1" applyFont="1" applyFill="1" applyBorder="1" applyAlignment="1">
      <alignment horizontal="center" vertical="center"/>
    </xf>
    <xf numFmtId="164" fontId="12" fillId="0" borderId="10" xfId="1" applyNumberFormat="1" applyFont="1" applyBorder="1" applyAlignment="1">
      <alignment horizontal="center" vertical="center"/>
    </xf>
    <xf numFmtId="164" fontId="12" fillId="0" borderId="0" xfId="1" applyNumberFormat="1" applyFont="1" applyFill="1" applyAlignment="1">
      <alignment horizontal="center" vertical="center"/>
    </xf>
    <xf numFmtId="164" fontId="12" fillId="0" borderId="0" xfId="1" applyNumberFormat="1" applyFont="1" applyAlignment="1">
      <alignment horizontal="center" vertical="center"/>
    </xf>
    <xf numFmtId="164" fontId="25" fillId="0" borderId="0" xfId="1" applyNumberFormat="1" applyFont="1" applyFill="1" applyAlignment="1">
      <alignment horizontal="center" vertical="center"/>
    </xf>
    <xf numFmtId="164" fontId="25" fillId="0" borderId="0" xfId="1" applyNumberFormat="1" applyFont="1" applyAlignment="1">
      <alignment horizontal="center" vertical="center"/>
    </xf>
    <xf numFmtId="0" fontId="8" fillId="0" borderId="0" xfId="0" applyFont="1" applyAlignment="1">
      <alignment horizontal="left" vertical="center" indent="3"/>
    </xf>
    <xf numFmtId="164" fontId="8" fillId="0" borderId="0" xfId="1" applyNumberFormat="1" applyFont="1" applyFill="1" applyAlignment="1">
      <alignment horizontal="center" vertical="center"/>
    </xf>
    <xf numFmtId="164" fontId="8" fillId="0" borderId="0" xfId="1" applyNumberFormat="1" applyFont="1" applyAlignment="1">
      <alignment horizontal="center" vertical="center"/>
    </xf>
    <xf numFmtId="0" fontId="8" fillId="0" borderId="0" xfId="0" applyFont="1" applyAlignment="1">
      <alignment horizontal="left" vertical="center"/>
    </xf>
    <xf numFmtId="164" fontId="8" fillId="0" borderId="8" xfId="1" applyNumberFormat="1" applyFont="1" applyBorder="1" applyAlignment="1">
      <alignment horizontal="center" vertical="center"/>
    </xf>
    <xf numFmtId="164" fontId="25" fillId="0" borderId="11" xfId="1" applyNumberFormat="1" applyFont="1" applyBorder="1" applyAlignment="1">
      <alignment horizontal="center" vertical="center"/>
    </xf>
    <xf numFmtId="0" fontId="12" fillId="0" borderId="0" xfId="0" applyFont="1" applyAlignment="1">
      <alignment horizontal="left" vertical="center"/>
    </xf>
    <xf numFmtId="164" fontId="25" fillId="0" borderId="12" xfId="1" applyNumberFormat="1" applyFont="1" applyFill="1" applyBorder="1" applyAlignment="1">
      <alignment horizontal="center" vertical="center"/>
    </xf>
    <xf numFmtId="164" fontId="25" fillId="0" borderId="12" xfId="1" applyNumberFormat="1" applyFont="1" applyBorder="1" applyAlignment="1">
      <alignment horizontal="center" vertical="center"/>
    </xf>
    <xf numFmtId="164" fontId="7" fillId="0" borderId="0" xfId="1" applyNumberFormat="1" applyFont="1" applyFill="1" applyAlignment="1">
      <alignment vertical="center"/>
    </xf>
    <xf numFmtId="164" fontId="7" fillId="0" borderId="0" xfId="1" applyNumberFormat="1" applyFont="1" applyAlignment="1">
      <alignment vertical="center"/>
    </xf>
    <xf numFmtId="0" fontId="26" fillId="0" borderId="0" xfId="0" applyFont="1" applyAlignment="1">
      <alignment horizontal="center"/>
    </xf>
    <xf numFmtId="0" fontId="8" fillId="0" borderId="0" xfId="0" applyFont="1"/>
    <xf numFmtId="0" fontId="6" fillId="0" borderId="0" xfId="0" applyFont="1"/>
    <xf numFmtId="0" fontId="27" fillId="0" borderId="0" xfId="0" applyFont="1" applyAlignment="1">
      <alignment horizontal="center"/>
    </xf>
    <xf numFmtId="0" fontId="10" fillId="0" borderId="10" xfId="0" applyFont="1" applyBorder="1" applyAlignment="1">
      <alignment horizontal="right" vertical="top"/>
    </xf>
    <xf numFmtId="0" fontId="12" fillId="0" borderId="0" xfId="0" applyFont="1" applyAlignment="1">
      <alignment horizontal="left"/>
    </xf>
    <xf numFmtId="0" fontId="25" fillId="0" borderId="0" xfId="0" applyFont="1" applyAlignment="1">
      <alignment vertical="center"/>
    </xf>
    <xf numFmtId="0" fontId="24" fillId="0" borderId="0" xfId="0" applyFont="1" applyAlignment="1">
      <alignment vertical="center" wrapText="1"/>
    </xf>
    <xf numFmtId="0" fontId="12" fillId="0" borderId="0" xfId="0" applyFont="1"/>
    <xf numFmtId="0" fontId="25" fillId="0" borderId="0" xfId="0" applyFont="1" applyAlignment="1">
      <alignment vertical="center" wrapText="1"/>
    </xf>
    <xf numFmtId="0" fontId="24" fillId="0" borderId="0" xfId="0" applyFont="1" applyAlignment="1">
      <alignment vertical="center"/>
    </xf>
    <xf numFmtId="0" fontId="8" fillId="0" borderId="10" xfId="0" applyFont="1" applyBorder="1" applyAlignment="1">
      <alignment vertical="center"/>
    </xf>
    <xf numFmtId="0" fontId="14" fillId="0" borderId="10" xfId="0" applyFont="1" applyBorder="1" applyAlignment="1">
      <alignment horizontal="right" vertical="center"/>
    </xf>
    <xf numFmtId="0" fontId="12" fillId="0" borderId="0" xfId="0" applyFont="1" applyAlignment="1">
      <alignment vertical="center" wrapText="1"/>
    </xf>
    <xf numFmtId="0" fontId="12" fillId="0" borderId="0" xfId="0" applyFont="1" applyAlignment="1">
      <alignment horizontal="center" vertical="center" wrapText="1"/>
    </xf>
    <xf numFmtId="0" fontId="12" fillId="0" borderId="8" xfId="0" applyFont="1" applyBorder="1" applyAlignment="1">
      <alignment horizontal="center" vertical="center" wrapText="1"/>
    </xf>
    <xf numFmtId="0" fontId="28" fillId="0" borderId="0" xfId="0" applyFont="1" applyAlignment="1">
      <alignment horizontal="left" vertical="center" wrapText="1"/>
    </xf>
    <xf numFmtId="164" fontId="12" fillId="0" borderId="14" xfId="1" applyNumberFormat="1" applyFont="1" applyFill="1" applyBorder="1" applyAlignment="1">
      <alignment horizontal="center" vertical="center"/>
    </xf>
    <xf numFmtId="0" fontId="28" fillId="0" borderId="0" xfId="0" applyFont="1" applyAlignment="1">
      <alignment vertical="center"/>
    </xf>
    <xf numFmtId="43" fontId="8" fillId="0" borderId="0" xfId="1" applyFont="1" applyFill="1" applyBorder="1" applyAlignment="1">
      <alignment horizontal="center" vertical="center"/>
    </xf>
    <xf numFmtId="43" fontId="12" fillId="0" borderId="0" xfId="0" applyNumberFormat="1" applyFont="1" applyAlignment="1">
      <alignment horizontal="center" vertical="center"/>
    </xf>
    <xf numFmtId="164" fontId="8" fillId="0" borderId="0" xfId="0" applyNumberFormat="1" applyFont="1" applyAlignment="1">
      <alignment horizontal="center" vertical="center"/>
    </xf>
    <xf numFmtId="0" fontId="8" fillId="0" borderId="8" xfId="0" applyFont="1" applyBorder="1" applyAlignment="1">
      <alignment horizontal="center" vertical="center"/>
    </xf>
    <xf numFmtId="0" fontId="12" fillId="0" borderId="8" xfId="0" applyFont="1" applyBorder="1" applyAlignment="1">
      <alignment horizontal="center" vertical="center"/>
    </xf>
    <xf numFmtId="164" fontId="12" fillId="0" borderId="14" xfId="0" applyNumberFormat="1" applyFont="1" applyBorder="1" applyAlignment="1">
      <alignment horizontal="center" vertical="center"/>
    </xf>
    <xf numFmtId="0" fontId="29" fillId="0" borderId="0" xfId="0" applyFont="1"/>
    <xf numFmtId="0" fontId="30" fillId="0" borderId="0" xfId="0" applyFont="1"/>
    <xf numFmtId="164" fontId="12" fillId="0" borderId="14" xfId="0" applyNumberFormat="1" applyFont="1" applyBorder="1" applyAlignment="1">
      <alignment vertical="center"/>
    </xf>
    <xf numFmtId="0" fontId="11" fillId="0" borderId="0" xfId="0" applyFont="1"/>
    <xf numFmtId="0" fontId="12" fillId="0" borderId="14" xfId="0" applyFont="1" applyBorder="1" applyAlignment="1">
      <alignment horizontal="left" vertical="center" wrapText="1"/>
    </xf>
    <xf numFmtId="0" fontId="12" fillId="0" borderId="14" xfId="0" applyFont="1" applyBorder="1" applyAlignment="1">
      <alignment horizontal="center" vertical="center" wrapText="1"/>
    </xf>
    <xf numFmtId="0" fontId="8" fillId="0" borderId="0" xfId="0" applyFont="1" applyAlignment="1">
      <alignment horizontal="left" vertical="center" wrapText="1"/>
    </xf>
    <xf numFmtId="43" fontId="8" fillId="0" borderId="0" xfId="0" applyNumberFormat="1" applyFont="1" applyAlignment="1">
      <alignment vertical="center"/>
    </xf>
    <xf numFmtId="43" fontId="8" fillId="0" borderId="0" xfId="1" applyFont="1" applyAlignment="1">
      <alignment vertical="center"/>
    </xf>
    <xf numFmtId="43" fontId="12" fillId="0" borderId="14" xfId="1" applyFont="1" applyBorder="1" applyAlignment="1">
      <alignment vertical="center"/>
    </xf>
    <xf numFmtId="0" fontId="26" fillId="0" borderId="0" xfId="0" applyFont="1" applyAlignment="1">
      <alignment horizontal="left"/>
    </xf>
    <xf numFmtId="0" fontId="26" fillId="0" borderId="0" xfId="0" applyFont="1"/>
    <xf numFmtId="0" fontId="31" fillId="0" borderId="0" xfId="0" applyFont="1"/>
    <xf numFmtId="0" fontId="30" fillId="0" borderId="0" xfId="0" applyFont="1" applyAlignment="1">
      <alignment horizontal="right"/>
    </xf>
    <xf numFmtId="42" fontId="31" fillId="0" borderId="0" xfId="2" applyFont="1" applyFill="1" applyAlignment="1"/>
    <xf numFmtId="0" fontId="30" fillId="0" borderId="10" xfId="0" applyFont="1" applyBorder="1" applyAlignment="1">
      <alignment horizontal="left"/>
    </xf>
    <xf numFmtId="0" fontId="30" fillId="0" borderId="10" xfId="0" applyFont="1" applyBorder="1"/>
    <xf numFmtId="0" fontId="30" fillId="0" borderId="0" xfId="0" applyFont="1" applyAlignment="1">
      <alignment horizontal="left"/>
    </xf>
    <xf numFmtId="0" fontId="10" fillId="0" borderId="0" xfId="0" applyFont="1" applyAlignment="1">
      <alignment horizontal="right" vertical="top"/>
    </xf>
    <xf numFmtId="42" fontId="10" fillId="0" borderId="0" xfId="2" applyFont="1" applyFill="1" applyAlignment="1">
      <alignment horizontal="center" vertical="center"/>
    </xf>
    <xf numFmtId="0" fontId="10" fillId="0" borderId="0" xfId="0" applyFont="1" applyAlignment="1">
      <alignment horizontal="center" vertical="center"/>
    </xf>
    <xf numFmtId="164" fontId="8" fillId="0" borderId="0" xfId="1" applyNumberFormat="1" applyFont="1" applyBorder="1" applyAlignment="1">
      <alignment horizontal="center" vertical="center"/>
    </xf>
    <xf numFmtId="0" fontId="8" fillId="0" borderId="0" xfId="0" applyFont="1" applyAlignment="1">
      <alignment horizontal="left" vertical="center" indent="1"/>
    </xf>
    <xf numFmtId="164" fontId="24" fillId="0" borderId="0" xfId="1" applyNumberFormat="1" applyFont="1" applyFill="1" applyBorder="1" applyAlignment="1"/>
    <xf numFmtId="164" fontId="12" fillId="0" borderId="14" xfId="1" applyNumberFormat="1" applyFont="1" applyBorder="1" applyAlignment="1">
      <alignment horizontal="center" vertical="center"/>
    </xf>
    <xf numFmtId="164" fontId="12" fillId="0" borderId="16" xfId="0" applyNumberFormat="1" applyFont="1" applyBorder="1" applyAlignment="1">
      <alignment horizontal="center" vertical="center"/>
    </xf>
    <xf numFmtId="0" fontId="14" fillId="0" borderId="0" xfId="0" applyFont="1" applyAlignment="1">
      <alignment horizontal="center" vertical="center"/>
    </xf>
    <xf numFmtId="0" fontId="14" fillId="0" borderId="10" xfId="0" applyFont="1" applyBorder="1" applyAlignment="1">
      <alignment horizontal="center" vertical="center"/>
    </xf>
    <xf numFmtId="43" fontId="8" fillId="0" borderId="0" xfId="1" applyFont="1" applyAlignment="1">
      <alignment horizontal="center" vertical="center"/>
    </xf>
    <xf numFmtId="43" fontId="8" fillId="0" borderId="8" xfId="1" applyFont="1" applyBorder="1" applyAlignment="1">
      <alignment horizontal="center" vertical="center"/>
    </xf>
    <xf numFmtId="43" fontId="12" fillId="0" borderId="14" xfId="0" applyNumberFormat="1" applyFont="1" applyBorder="1" applyAlignment="1">
      <alignment horizontal="center" vertical="center"/>
    </xf>
    <xf numFmtId="164" fontId="8" fillId="0" borderId="0" xfId="1" applyNumberFormat="1" applyFont="1"/>
    <xf numFmtId="42" fontId="10" fillId="0" borderId="8" xfId="2" applyFont="1" applyFill="1" applyBorder="1" applyAlignment="1">
      <alignment horizontal="center" vertical="center"/>
    </xf>
    <xf numFmtId="43" fontId="12" fillId="0" borderId="14" xfId="1" applyFont="1" applyBorder="1" applyAlignment="1">
      <alignment horizontal="center" vertical="center"/>
    </xf>
    <xf numFmtId="0" fontId="27" fillId="0" borderId="0" xfId="0" applyFont="1"/>
    <xf numFmtId="1" fontId="10" fillId="0" borderId="0" xfId="0" applyNumberFormat="1" applyFont="1" applyAlignment="1">
      <alignment horizontal="center" vertical="center"/>
    </xf>
    <xf numFmtId="0" fontId="11" fillId="0" borderId="0" xfId="0" applyFont="1" applyAlignment="1">
      <alignment vertical="top"/>
    </xf>
    <xf numFmtId="0" fontId="33" fillId="0" borderId="0" xfId="5" applyFont="1"/>
    <xf numFmtId="164" fontId="6" fillId="0" borderId="0" xfId="1" applyNumberFormat="1" applyFont="1"/>
    <xf numFmtId="0" fontId="11" fillId="0" borderId="0" xfId="0" applyFont="1" applyAlignment="1">
      <alignment vertical="top" wrapText="1"/>
    </xf>
    <xf numFmtId="164" fontId="7" fillId="0" borderId="8" xfId="0" applyNumberFormat="1" applyFont="1" applyBorder="1"/>
    <xf numFmtId="0" fontId="12" fillId="0" borderId="0" xfId="0" quotePrefix="1" applyFont="1" applyAlignment="1">
      <alignment horizontal="left"/>
    </xf>
    <xf numFmtId="1" fontId="10" fillId="0" borderId="8" xfId="0" applyNumberFormat="1" applyFont="1" applyBorder="1" applyAlignment="1">
      <alignment horizontal="center" vertical="center"/>
    </xf>
    <xf numFmtId="0" fontId="30" fillId="0" borderId="0" xfId="0" applyFont="1" applyAlignment="1">
      <alignment vertical="top"/>
    </xf>
    <xf numFmtId="164" fontId="12" fillId="0" borderId="0" xfId="1" applyNumberFormat="1" applyFont="1" applyBorder="1" applyAlignment="1">
      <alignment horizontal="center" vertical="center"/>
    </xf>
    <xf numFmtId="43" fontId="8" fillId="0" borderId="0" xfId="1" applyFont="1" applyBorder="1" applyAlignment="1">
      <alignment horizontal="center" vertical="center"/>
    </xf>
    <xf numFmtId="43" fontId="12" fillId="0" borderId="0" xfId="1" applyFont="1" applyAlignment="1">
      <alignment vertical="center"/>
    </xf>
    <xf numFmtId="1" fontId="10" fillId="0" borderId="0" xfId="0" applyNumberFormat="1" applyFont="1" applyAlignment="1">
      <alignment horizontal="center" wrapText="1"/>
    </xf>
    <xf numFmtId="0" fontId="11" fillId="0" borderId="0" xfId="0" applyFont="1" applyAlignment="1">
      <alignment horizontal="right"/>
    </xf>
    <xf numFmtId="0" fontId="11" fillId="0" borderId="8" xfId="0" applyFont="1" applyBorder="1" applyAlignment="1">
      <alignment horizontal="right"/>
    </xf>
    <xf numFmtId="41" fontId="30" fillId="0" borderId="0" xfId="0" quotePrefix="1" applyNumberFormat="1" applyFont="1"/>
    <xf numFmtId="0" fontId="11" fillId="0" borderId="0" xfId="0" applyFont="1" applyAlignment="1">
      <alignment horizontal="left"/>
    </xf>
    <xf numFmtId="41" fontId="11" fillId="0" borderId="0" xfId="0" quotePrefix="1" applyNumberFormat="1" applyFont="1"/>
    <xf numFmtId="41" fontId="10" fillId="0" borderId="10" xfId="0" applyNumberFormat="1" applyFont="1" applyBorder="1" applyAlignment="1">
      <alignment horizontal="center" vertical="center"/>
    </xf>
    <xf numFmtId="164" fontId="6" fillId="0" borderId="0" xfId="0" applyNumberFormat="1" applyFont="1"/>
    <xf numFmtId="43" fontId="6" fillId="0" borderId="0" xfId="1" applyFont="1"/>
    <xf numFmtId="0" fontId="12" fillId="0" borderId="12" xfId="0" applyFont="1" applyBorder="1"/>
    <xf numFmtId="0" fontId="8" fillId="0" borderId="12" xfId="0" applyFont="1" applyBorder="1"/>
    <xf numFmtId="164" fontId="12" fillId="0" borderId="12" xfId="1" applyNumberFormat="1" applyFont="1" applyBorder="1"/>
    <xf numFmtId="43" fontId="6" fillId="0" borderId="0" xfId="0" applyNumberFormat="1" applyFont="1"/>
    <xf numFmtId="0" fontId="10" fillId="0" borderId="8" xfId="0" quotePrefix="1" applyFont="1" applyBorder="1" applyAlignment="1">
      <alignment horizontal="right"/>
    </xf>
    <xf numFmtId="164" fontId="30" fillId="0" borderId="0" xfId="4" applyNumberFormat="1" applyFont="1" applyFill="1" applyBorder="1" applyAlignment="1">
      <alignment horizontal="center"/>
    </xf>
    <xf numFmtId="164" fontId="30" fillId="0" borderId="0" xfId="1" applyNumberFormat="1" applyFont="1" applyFill="1" applyAlignment="1">
      <alignment horizontal="right"/>
    </xf>
    <xf numFmtId="41" fontId="30" fillId="0" borderId="4" xfId="0" applyNumberFormat="1" applyFont="1" applyBorder="1"/>
    <xf numFmtId="41" fontId="11" fillId="0" borderId="14" xfId="0" applyNumberFormat="1" applyFont="1" applyBorder="1"/>
    <xf numFmtId="41" fontId="11" fillId="0" borderId="0" xfId="0" applyNumberFormat="1" applyFont="1"/>
    <xf numFmtId="164" fontId="30" fillId="0" borderId="0" xfId="4" applyNumberFormat="1" applyFont="1" applyFill="1" applyBorder="1" applyAlignment="1"/>
    <xf numFmtId="164" fontId="30" fillId="0" borderId="8" xfId="6" applyNumberFormat="1" applyFont="1" applyFill="1" applyBorder="1"/>
    <xf numFmtId="164" fontId="30" fillId="0" borderId="8" xfId="4" applyNumberFormat="1" applyFont="1" applyFill="1" applyBorder="1" applyAlignment="1"/>
    <xf numFmtId="41" fontId="30" fillId="0" borderId="0" xfId="0" applyNumberFormat="1" applyFont="1"/>
    <xf numFmtId="0" fontId="30" fillId="0" borderId="0" xfId="7" applyFont="1"/>
    <xf numFmtId="164" fontId="30" fillId="0" borderId="0" xfId="8" applyNumberFormat="1" applyFont="1"/>
    <xf numFmtId="0" fontId="30" fillId="0" borderId="0" xfId="9" applyFont="1"/>
    <xf numFmtId="164" fontId="30" fillId="0" borderId="4" xfId="1" applyNumberFormat="1" applyFont="1" applyFill="1" applyBorder="1"/>
    <xf numFmtId="164" fontId="11" fillId="0" borderId="14" xfId="1" applyNumberFormat="1" applyFont="1" applyFill="1" applyBorder="1"/>
    <xf numFmtId="164" fontId="11" fillId="0" borderId="0" xfId="1" applyNumberFormat="1" applyFont="1" applyFill="1" applyBorder="1"/>
    <xf numFmtId="0" fontId="10" fillId="0" borderId="0" xfId="0" quotePrefix="1" applyFont="1" applyAlignment="1">
      <alignment horizontal="right"/>
    </xf>
    <xf numFmtId="0" fontId="30" fillId="0" borderId="0" xfId="10" applyFont="1" applyAlignment="1">
      <alignment horizontal="left"/>
    </xf>
    <xf numFmtId="164" fontId="30" fillId="0" borderId="0" xfId="1" applyNumberFormat="1" applyFont="1" applyFill="1" applyBorder="1" applyAlignment="1"/>
    <xf numFmtId="0" fontId="30" fillId="0" borderId="0" xfId="11" applyFont="1"/>
    <xf numFmtId="164" fontId="30" fillId="0" borderId="0" xfId="1" applyNumberFormat="1" applyFont="1" applyBorder="1" applyAlignment="1">
      <alignment horizontal="center" vertical="center"/>
    </xf>
    <xf numFmtId="0" fontId="11" fillId="0" borderId="8" xfId="0" quotePrefix="1" applyFont="1" applyBorder="1" applyAlignment="1">
      <alignment horizontal="right"/>
    </xf>
    <xf numFmtId="2" fontId="12" fillId="0" borderId="0" xfId="0" applyNumberFormat="1" applyFont="1" applyAlignment="1">
      <alignment horizontal="left"/>
    </xf>
    <xf numFmtId="0" fontId="11" fillId="0" borderId="11" xfId="0" quotePrefix="1" applyFont="1" applyBorder="1" applyAlignment="1">
      <alignment horizontal="right"/>
    </xf>
    <xf numFmtId="164" fontId="30" fillId="0" borderId="0" xfId="12" applyNumberFormat="1" applyFont="1" applyFill="1" applyBorder="1" applyAlignment="1">
      <alignment vertical="center"/>
    </xf>
    <xf numFmtId="0" fontId="12" fillId="0" borderId="8" xfId="0" applyFont="1" applyBorder="1"/>
    <xf numFmtId="164" fontId="11" fillId="0" borderId="11" xfId="1" quotePrefix="1" applyNumberFormat="1" applyFont="1" applyFill="1" applyBorder="1" applyAlignment="1">
      <alignment horizontal="right"/>
    </xf>
    <xf numFmtId="164" fontId="30" fillId="0" borderId="0" xfId="1" quotePrefix="1" applyNumberFormat="1" applyFont="1" applyFill="1" applyBorder="1" applyAlignment="1">
      <alignment horizontal="right"/>
    </xf>
    <xf numFmtId="0" fontId="8" fillId="0" borderId="8" xfId="0" applyFont="1" applyBorder="1"/>
    <xf numFmtId="164" fontId="30" fillId="0" borderId="8" xfId="1" quotePrefix="1" applyNumberFormat="1" applyFont="1" applyFill="1" applyBorder="1" applyAlignment="1">
      <alignment horizontal="right"/>
    </xf>
    <xf numFmtId="0" fontId="12" fillId="0" borderId="4" xfId="0" applyFont="1" applyBorder="1"/>
    <xf numFmtId="164" fontId="12" fillId="0" borderId="4" xfId="1" applyNumberFormat="1" applyFont="1" applyBorder="1"/>
    <xf numFmtId="0" fontId="12" fillId="0" borderId="17" xfId="0" applyFont="1" applyBorder="1"/>
    <xf numFmtId="164" fontId="12" fillId="0" borderId="17" xfId="1" applyNumberFormat="1" applyFont="1" applyBorder="1"/>
    <xf numFmtId="0" fontId="8" fillId="0" borderId="0" xfId="0" applyFont="1" applyAlignment="1">
      <alignment wrapText="1"/>
    </xf>
    <xf numFmtId="0" fontId="12" fillId="0" borderId="0" xfId="0" applyFont="1" applyAlignment="1">
      <alignment wrapText="1"/>
    </xf>
    <xf numFmtId="0" fontId="7" fillId="0" borderId="8" xfId="0" applyFont="1" applyBorder="1"/>
    <xf numFmtId="164" fontId="7" fillId="0" borderId="8" xfId="1" applyNumberFormat="1" applyFont="1" applyBorder="1"/>
    <xf numFmtId="0" fontId="6" fillId="0" borderId="8" xfId="0" applyFont="1" applyBorder="1"/>
    <xf numFmtId="164" fontId="6" fillId="0" borderId="8" xfId="1" applyNumberFormat="1" applyFont="1" applyBorder="1"/>
    <xf numFmtId="0" fontId="7" fillId="0" borderId="0" xfId="0" applyFont="1"/>
    <xf numFmtId="164" fontId="7" fillId="0" borderId="0" xfId="1" applyNumberFormat="1" applyFont="1"/>
    <xf numFmtId="0" fontId="7" fillId="0" borderId="17" xfId="0" applyFont="1" applyBorder="1"/>
    <xf numFmtId="164" fontId="7" fillId="0" borderId="17" xfId="1" applyNumberFormat="1" applyFont="1" applyBorder="1"/>
    <xf numFmtId="164" fontId="8" fillId="6" borderId="0" xfId="1" applyNumberFormat="1" applyFont="1" applyFill="1" applyBorder="1" applyAlignment="1">
      <alignment horizontal="center" vertical="center"/>
    </xf>
    <xf numFmtId="164" fontId="2" fillId="3" borderId="0" xfId="1" applyNumberFormat="1" applyFont="1" applyFill="1" applyBorder="1"/>
    <xf numFmtId="164" fontId="4" fillId="3" borderId="0" xfId="1" applyNumberFormat="1" applyFont="1" applyFill="1" applyBorder="1"/>
    <xf numFmtId="164" fontId="36" fillId="6" borderId="0" xfId="1" applyNumberFormat="1" applyFont="1" applyFill="1" applyBorder="1" applyAlignment="1">
      <alignment horizontal="center" vertical="center"/>
    </xf>
    <xf numFmtId="164" fontId="8" fillId="6" borderId="0" xfId="0" applyNumberFormat="1" applyFont="1" applyFill="1" applyAlignment="1">
      <alignment horizontal="center" vertical="center"/>
    </xf>
    <xf numFmtId="164" fontId="8" fillId="6" borderId="8" xfId="1" applyNumberFormat="1" applyFont="1" applyFill="1" applyBorder="1" applyAlignment="1">
      <alignment horizontal="center" vertical="center"/>
    </xf>
    <xf numFmtId="164" fontId="2" fillId="0" borderId="6" xfId="1" applyNumberFormat="1" applyFont="1" applyBorder="1"/>
    <xf numFmtId="164" fontId="2" fillId="6" borderId="6" xfId="1" applyNumberFormat="1" applyFont="1" applyFill="1" applyBorder="1"/>
    <xf numFmtId="43" fontId="8" fillId="6" borderId="0" xfId="1" applyFont="1" applyFill="1" applyBorder="1" applyAlignment="1">
      <alignment horizontal="center" vertical="center"/>
    </xf>
    <xf numFmtId="43" fontId="0" fillId="6" borderId="0" xfId="1" applyFont="1" applyFill="1" applyBorder="1"/>
    <xf numFmtId="164" fontId="36" fillId="0" borderId="0" xfId="1" applyNumberFormat="1" applyFont="1" applyFill="1" applyBorder="1" applyAlignment="1">
      <alignment horizontal="center" vertical="center"/>
    </xf>
    <xf numFmtId="43" fontId="12" fillId="0" borderId="0" xfId="1" applyFont="1" applyFill="1" applyAlignment="1">
      <alignment vertical="center"/>
    </xf>
    <xf numFmtId="164" fontId="37" fillId="3" borderId="0" xfId="1" applyNumberFormat="1" applyFont="1" applyFill="1" applyBorder="1"/>
    <xf numFmtId="164" fontId="38" fillId="3" borderId="0" xfId="1" applyNumberFormat="1" applyFont="1" applyFill="1" applyBorder="1"/>
    <xf numFmtId="164" fontId="3" fillId="3" borderId="0" xfId="1" applyNumberFormat="1" applyFont="1" applyFill="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0" fontId="12" fillId="0" borderId="14" xfId="0" applyFont="1" applyBorder="1" applyAlignment="1">
      <alignment horizontal="center" vertical="center" wrapText="1"/>
    </xf>
    <xf numFmtId="43" fontId="8" fillId="0" borderId="15" xfId="1" applyFont="1" applyBorder="1" applyAlignment="1">
      <alignment horizontal="center" vertical="center"/>
    </xf>
    <xf numFmtId="0" fontId="26" fillId="0" borderId="0" xfId="0" applyFont="1" applyAlignment="1">
      <alignment horizontal="center"/>
    </xf>
    <xf numFmtId="0" fontId="27" fillId="0" borderId="0" xfId="0" applyFont="1" applyAlignment="1">
      <alignment horizontal="center"/>
    </xf>
    <xf numFmtId="0" fontId="8" fillId="0" borderId="0" xfId="0" applyFont="1" applyAlignment="1">
      <alignment vertical="center" wrapText="1"/>
    </xf>
    <xf numFmtId="0" fontId="7" fillId="0" borderId="0" xfId="0" applyFont="1" applyAlignment="1">
      <alignment horizontal="left"/>
    </xf>
    <xf numFmtId="0" fontId="0" fillId="0" borderId="0" xfId="0" applyAlignment="1">
      <alignment horizontal="center"/>
    </xf>
    <xf numFmtId="0" fontId="12" fillId="0" borderId="0" xfId="0" applyFont="1" applyBorder="1" applyAlignment="1">
      <alignment vertical="center"/>
    </xf>
    <xf numFmtId="0" fontId="6" fillId="0" borderId="0" xfId="0" applyFont="1" applyBorder="1"/>
    <xf numFmtId="164" fontId="39" fillId="3" borderId="0" xfId="1" applyNumberFormat="1" applyFont="1" applyFill="1" applyBorder="1"/>
    <xf numFmtId="164" fontId="40" fillId="6" borderId="0" xfId="1" applyNumberFormat="1" applyFont="1" applyFill="1" applyBorder="1" applyAlignment="1">
      <alignment horizontal="center" vertical="center"/>
    </xf>
    <xf numFmtId="164" fontId="38" fillId="0" borderId="0" xfId="0" applyNumberFormat="1" applyFont="1"/>
    <xf numFmtId="164" fontId="40" fillId="0" borderId="0" xfId="1" applyNumberFormat="1" applyFont="1" applyBorder="1" applyAlignment="1">
      <alignment horizontal="center" vertical="center"/>
    </xf>
    <xf numFmtId="0" fontId="26" fillId="0" borderId="0" xfId="0" applyFont="1" applyFill="1"/>
    <xf numFmtId="0" fontId="30" fillId="0" borderId="10" xfId="0" applyFont="1" applyFill="1" applyBorder="1"/>
    <xf numFmtId="0" fontId="6" fillId="0" borderId="0" xfId="0" applyFont="1" applyFill="1"/>
    <xf numFmtId="0" fontId="8" fillId="0" borderId="0" xfId="0" applyFont="1" applyFill="1" applyAlignment="1">
      <alignment horizontal="center" vertical="center"/>
    </xf>
    <xf numFmtId="1" fontId="10" fillId="0" borderId="0" xfId="0" applyNumberFormat="1" applyFont="1" applyFill="1" applyAlignment="1">
      <alignment horizontal="center" vertical="center"/>
    </xf>
    <xf numFmtId="0" fontId="10" fillId="0" borderId="10" xfId="0" applyFont="1" applyFill="1" applyBorder="1" applyAlignment="1">
      <alignment horizontal="center" vertical="center"/>
    </xf>
    <xf numFmtId="0" fontId="12" fillId="0" borderId="0" xfId="0" applyFont="1" applyFill="1" applyAlignment="1">
      <alignment horizontal="center" vertical="center"/>
    </xf>
    <xf numFmtId="164" fontId="12" fillId="0" borderId="14" xfId="0" applyNumberFormat="1" applyFont="1" applyFill="1" applyBorder="1" applyAlignment="1">
      <alignment horizontal="center" vertical="center"/>
    </xf>
    <xf numFmtId="164" fontId="12" fillId="0" borderId="8" xfId="0" applyNumberFormat="1" applyFont="1" applyFill="1" applyBorder="1" applyAlignment="1">
      <alignment horizontal="center" vertical="center"/>
    </xf>
    <xf numFmtId="1" fontId="10" fillId="0" borderId="8" xfId="0" applyNumberFormat="1" applyFont="1" applyFill="1" applyBorder="1" applyAlignment="1">
      <alignment horizontal="center" vertical="center"/>
    </xf>
    <xf numFmtId="0" fontId="10" fillId="0" borderId="10" xfId="0" applyFont="1" applyFill="1" applyBorder="1" applyAlignment="1">
      <alignment horizontal="right" vertical="top"/>
    </xf>
    <xf numFmtId="0" fontId="30" fillId="0" borderId="0" xfId="0" applyFont="1" applyFill="1"/>
    <xf numFmtId="0" fontId="10" fillId="0" borderId="0" xfId="0" applyFont="1" applyFill="1" applyAlignment="1">
      <alignment horizontal="center" vertical="center"/>
    </xf>
    <xf numFmtId="164" fontId="40" fillId="0" borderId="0" xfId="1" applyNumberFormat="1" applyFont="1" applyFill="1" applyBorder="1" applyAlignment="1">
      <alignment horizontal="center" vertical="center"/>
    </xf>
    <xf numFmtId="164" fontId="8" fillId="0" borderId="0" xfId="0" applyNumberFormat="1" applyFont="1" applyFill="1" applyAlignment="1">
      <alignment horizontal="center" vertical="center"/>
    </xf>
    <xf numFmtId="0" fontId="6" fillId="0" borderId="0" xfId="0" applyFont="1" applyFill="1" applyBorder="1"/>
    <xf numFmtId="164" fontId="12" fillId="0" borderId="16" xfId="0" applyNumberFormat="1" applyFont="1" applyFill="1" applyBorder="1" applyAlignment="1">
      <alignment horizontal="center" vertical="center"/>
    </xf>
    <xf numFmtId="164" fontId="12" fillId="0" borderId="0" xfId="0" applyNumberFormat="1" applyFont="1" applyFill="1" applyAlignment="1">
      <alignment horizontal="center" vertical="center"/>
    </xf>
    <xf numFmtId="164" fontId="8" fillId="0" borderId="0" xfId="1" applyNumberFormat="1" applyFont="1" applyFill="1"/>
    <xf numFmtId="0" fontId="8" fillId="0" borderId="8" xfId="0" applyFont="1" applyFill="1" applyBorder="1" applyAlignment="1">
      <alignment horizontal="center" vertical="center"/>
    </xf>
    <xf numFmtId="164" fontId="30" fillId="0" borderId="10" xfId="1" applyNumberFormat="1" applyFont="1" applyBorder="1" applyAlignment="1">
      <alignment horizontal="left"/>
    </xf>
    <xf numFmtId="164" fontId="12" fillId="0" borderId="0" xfId="1" applyNumberFormat="1" applyFont="1" applyAlignment="1">
      <alignment vertical="center"/>
    </xf>
    <xf numFmtId="164" fontId="10" fillId="0" borderId="0" xfId="1" applyNumberFormat="1" applyFont="1" applyAlignment="1">
      <alignment horizontal="center" vertical="center"/>
    </xf>
    <xf numFmtId="164" fontId="10" fillId="0" borderId="10" xfId="1" applyNumberFormat="1" applyFont="1" applyBorder="1" applyAlignment="1">
      <alignment horizontal="center" vertical="center"/>
    </xf>
    <xf numFmtId="164" fontId="11" fillId="0" borderId="0" xfId="1" applyNumberFormat="1" applyFont="1" applyAlignment="1">
      <alignment vertical="top"/>
    </xf>
    <xf numFmtId="164" fontId="33" fillId="0" borderId="0" xfId="1" applyNumberFormat="1" applyFont="1"/>
    <xf numFmtId="164" fontId="38" fillId="0" borderId="0" xfId="1" applyNumberFormat="1" applyFont="1"/>
    <xf numFmtId="164" fontId="12" fillId="0" borderId="8" xfId="1" applyNumberFormat="1" applyFont="1" applyBorder="1" applyAlignment="1">
      <alignment horizontal="center" vertical="center"/>
    </xf>
    <xf numFmtId="164" fontId="8" fillId="0" borderId="0" xfId="1" applyNumberFormat="1" applyFont="1" applyAlignment="1">
      <alignment vertical="center"/>
    </xf>
    <xf numFmtId="164" fontId="10" fillId="0" borderId="8" xfId="1" applyNumberFormat="1" applyFont="1" applyBorder="1" applyAlignment="1">
      <alignment horizontal="center" vertical="center"/>
    </xf>
    <xf numFmtId="164" fontId="30" fillId="0" borderId="0" xfId="1" applyNumberFormat="1" applyFont="1" applyAlignment="1">
      <alignment vertical="top"/>
    </xf>
    <xf numFmtId="164" fontId="41" fillId="0" borderId="0" xfId="1" applyNumberFormat="1" applyFont="1"/>
  </cellXfs>
  <cellStyles count="13">
    <cellStyle name="Comma" xfId="1" builtinId="3"/>
    <cellStyle name="Comma 13_9 NEPAL PVT. LTD. PLBS 66-67 GRAND FINAL" xfId="12" xr:uid="{A8AC9944-1D0E-430B-99CE-A2F738690BAC}"/>
    <cellStyle name="Comma 2 10 2" xfId="4" xr:uid="{67A6A89A-AFA1-41E9-9424-14FE70CA5B22}"/>
    <cellStyle name="Comma 39" xfId="6" xr:uid="{C650A95D-0D41-40CF-985F-94875E2F8E7F}"/>
    <cellStyle name="Currency [0]" xfId="2" builtinId="7"/>
    <cellStyle name="Normal" xfId="0" builtinId="0"/>
    <cellStyle name="Normal 2 2 2" xfId="8" xr:uid="{B0AEDC3B-385C-4075-83B6-B44D4F40EE3F}"/>
    <cellStyle name="Normal 30" xfId="10" xr:uid="{CC96DBD0-7026-41C2-A7BB-2DB568A4ECDD}"/>
    <cellStyle name="Normal 32" xfId="7" xr:uid="{BA7EC3F3-CA0B-4721-83E5-842232EAB4CE}"/>
    <cellStyle name="Normal 36" xfId="9" xr:uid="{C7A7B05A-3F7F-4F56-9F6C-BB5E596747F4}"/>
    <cellStyle name="Normal 39" xfId="11" xr:uid="{C24CB4FA-81D1-4EE4-9120-AB0F2EA69634}"/>
    <cellStyle name="Normal 56" xfId="5" xr:uid="{F9F5C4EE-162C-4CC1-A459-63FAF01789C1}"/>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5" Type="http://schemas.openxmlformats.org/officeDocument/2006/relationships/worksheet" Target="worksheets/sheet36.xml"/><Relationship Id="rId46" Type="http://schemas.openxmlformats.org/officeDocument/2006/relationships/worksheet" Target="worksheets/sheet37.xml"/><Relationship Id="rId47" Type="http://schemas.openxmlformats.org/officeDocument/2006/relationships/worksheet" Target="worksheets/sheet38.xml"/><Relationship Id="rId48" Type="http://schemas.openxmlformats.org/officeDocument/2006/relationships/worksheet" Target="worksheets/sheet39.xml"/><Relationship Id="rId49" Type="http://schemas.openxmlformats.org/officeDocument/2006/relationships/worksheet" Target="worksheets/sheet40.xml"/><Relationship Id="rId50" Type="http://schemas.openxmlformats.org/officeDocument/2006/relationships/worksheet" Target="worksheets/sheet41.xml"/><Relationship Id="rId51" Type="http://schemas.openxmlformats.org/officeDocument/2006/relationships/worksheet" Target="worksheets/sheet42.xml"/><Relationship Id="rId52" Type="http://schemas.openxmlformats.org/officeDocument/2006/relationships/worksheet" Target="worksheets/sheet43.xml"/><Relationship Id="rId53" Type="http://schemas.openxmlformats.org/officeDocument/2006/relationships/worksheet" Target="worksheets/sheet44.xml"/><Relationship Id="rId54" Type="http://schemas.openxmlformats.org/officeDocument/2006/relationships/worksheet" Target="worksheets/sheet45.xml"/><Relationship Id="rId55" Type="http://schemas.openxmlformats.org/officeDocument/2006/relationships/worksheet" Target="worksheets/sheet46.xml"/><Relationship Id="rId56" Type="http://schemas.openxmlformats.org/officeDocument/2006/relationships/worksheet" Target="worksheets/sheet47.xml"/><Relationship Id="rId57" Type="http://schemas.openxmlformats.org/officeDocument/2006/relationships/worksheet" Target="worksheets/sheet4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arlett\Accounts\AFRITECHDEC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cg\dcg\Dcg\Book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cg\c\Mumbai_August2002\Mumbai02\2001-02\JISL\CMA-March%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cg\c\Mumbai02\2001-02\JISL\CMA-March%202.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rosha\OneDrive\Desktop\work\Work%20in%20FY%208384\Magic%20Hydro\Hydro%20financials.xlsx" TargetMode="External"/><Relationship Id="rId1" Type="http://schemas.openxmlformats.org/officeDocument/2006/relationships/externalLinkPath" Target="Hydro%20financia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s"/>
      <sheetName val="Cover"/>
      <sheetName val="M&amp;A"/>
      <sheetName val="#REF"/>
      <sheetName val="Sheet2"/>
      <sheetName val="DATA"/>
      <sheetName val="ktm-branch"/>
      <sheetName val="projection"/>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2"/>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FP"/>
      <sheetName val="SOI"/>
      <sheetName val="SOCE"/>
      <sheetName val="SCF"/>
      <sheetName val="Reco_80"/>
      <sheetName val="Reco_81"/>
      <sheetName val="Reco_PL"/>
      <sheetName val="EN"/>
      <sheetName val="Annex 1&amp;2"/>
      <sheetName val="3.1"/>
      <sheetName val="3.2"/>
      <sheetName val="3.3"/>
      <sheetName val="3.4 to 3.6"/>
      <sheetName val="3.9 to 3.11"/>
      <sheetName val="3.7 to 3.8"/>
      <sheetName val="3.12 to 3.18"/>
      <sheetName val="3.19 to 3.20"/>
      <sheetName val="3.16 to 3.20"/>
      <sheetName val="Tax Computation"/>
      <sheetName val="Sheet1"/>
      <sheetName val="Reco"/>
    </sheetNames>
    <sheetDataSet>
      <sheetData sheetId="0"/>
      <sheetData sheetId="1"/>
      <sheetData sheetId="2"/>
      <sheetData sheetId="3"/>
      <sheetData sheetId="4"/>
      <sheetData sheetId="5"/>
      <sheetData sheetId="6"/>
      <sheetData sheetId="7"/>
      <sheetData sheetId="8"/>
      <sheetData sheetId="9"/>
      <sheetData sheetId="10">
        <row r="12">
          <cell r="E12">
            <v>0</v>
          </cell>
        </row>
        <row r="17">
          <cell r="E17">
            <v>0</v>
          </cell>
        </row>
        <row r="30">
          <cell r="E30">
            <v>0</v>
          </cell>
        </row>
        <row r="32">
          <cell r="E32">
            <v>0</v>
          </cell>
        </row>
        <row r="39">
          <cell r="E39">
            <v>0</v>
          </cell>
        </row>
        <row r="41">
          <cell r="E41">
            <v>0</v>
          </cell>
        </row>
        <row r="43">
          <cell r="E43">
            <v>0</v>
          </cell>
        </row>
      </sheetData>
      <sheetData sheetId="11">
        <row r="1">
          <cell r="A1" t="str">
            <v>CELER MART PVT. LTD.</v>
          </cell>
          <cell r="B1"/>
          <cell r="C1"/>
          <cell r="D1"/>
          <cell r="E1"/>
        </row>
        <row r="29">
          <cell r="C29" t="str">
            <v xml:space="preserve">As at </v>
          </cell>
          <cell r="D29" t="str">
            <v xml:space="preserve">As at </v>
          </cell>
          <cell r="E29" t="str">
            <v xml:space="preserve">As at </v>
          </cell>
        </row>
        <row r="30">
          <cell r="D30" t="str">
            <v>32 Ashadh 2082</v>
          </cell>
          <cell r="E30" t="str">
            <v>1 Shrawan 2081</v>
          </cell>
        </row>
        <row r="34">
          <cell r="C34">
            <v>0</v>
          </cell>
          <cell r="D34">
            <v>0</v>
          </cell>
          <cell r="E34">
            <v>0</v>
          </cell>
        </row>
        <row r="35">
          <cell r="C35">
            <v>0</v>
          </cell>
          <cell r="D35">
            <v>0</v>
          </cell>
          <cell r="E35">
            <v>0</v>
          </cell>
        </row>
      </sheetData>
      <sheetData sheetId="12"/>
      <sheetData sheetId="13"/>
      <sheetData sheetId="14"/>
      <sheetData sheetId="15"/>
      <sheetData sheetId="16"/>
      <sheetData sheetId="17"/>
      <sheetData sheetId="18"/>
      <sheetData sheetId="19">
        <row r="8">
          <cell r="A8" t="str">
            <v>Sita Karki</v>
          </cell>
        </row>
        <row r="19">
          <cell r="A19" t="str">
            <v>Mamata Acharya - Payable</v>
          </cell>
        </row>
      </sheetData>
      <sheetData sheetId="20">
        <row r="5">
          <cell r="F5">
            <v>0</v>
          </cell>
        </row>
        <row r="6">
          <cell r="F6">
            <v>0</v>
          </cell>
        </row>
        <row r="7">
          <cell r="F7">
            <v>0</v>
          </cell>
        </row>
        <row r="8">
          <cell r="F8">
            <v>0</v>
          </cell>
        </row>
        <row r="14">
          <cell r="F14">
            <v>0</v>
          </cell>
        </row>
        <row r="15">
          <cell r="F15">
            <v>0</v>
          </cell>
        </row>
        <row r="16">
          <cell r="F16">
            <v>0</v>
          </cell>
        </row>
        <row r="17">
          <cell r="F17">
            <v>0</v>
          </cell>
        </row>
        <row r="20">
          <cell r="F20">
            <v>0</v>
          </cell>
        </row>
        <row r="21">
          <cell r="F21">
            <v>0</v>
          </cell>
        </row>
        <row r="22">
          <cell r="F22">
            <v>0</v>
          </cell>
        </row>
        <row r="23">
          <cell r="F23">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E2F0BCC-64E4-4D4F-A49A-E70C629E5FF0}">
  <we:reference id="wa200010725" version="1.0.0.1" store="en-US" storeType="OMEX"/>
  <we:alternateReferences>
    <we:reference id="WA200010725" version="1.0.0.1" store="" storeType="OMEX"/>
  </we:alternateReferences>
  <we:properties>
    <we:property name="claude.fileId" value="&quot;3f11ab94-fbec-499e-9ae1-b9d6b627b6c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27416-D764-4829-84FF-BD29614E366E}">
  <sheetPr>
    <tabColor rgb="FFFF0000"/>
  </sheetPr>
  <dimension ref="A1:K51"/>
  <sheetViews>
    <sheetView showGridLines="0" view="pageBreakPreview" topLeftCell="C16" zoomScale="120" zoomScaleNormal="120" zoomScaleSheetLayoutView="120" workbookViewId="0">
      <selection activeCell="C26" sqref="C26"/>
    </sheetView>
  </sheetViews>
  <sheetFormatPr defaultColWidth="8.6328125" defaultRowHeight="13.5"/>
  <cols>
    <col min="1" max="1" width="35.6328125" style="83" customWidth="1"/>
    <col min="2" max="2" width="6.6328125" style="118" customWidth="1"/>
    <col min="3" max="3" width="19.81640625" style="118" customWidth="1"/>
    <col min="4" max="4" width="17.453125" style="83" customWidth="1"/>
    <col min="5" max="5" width="20.6328125" style="83" hidden="1" customWidth="1"/>
    <col min="6" max="6" width="12.453125" style="83" bestFit="1" customWidth="1"/>
    <col min="7" max="7" width="15" style="84" hidden="1" customWidth="1"/>
    <col min="8" max="8" width="15.81640625" style="84" bestFit="1" customWidth="1"/>
    <col min="9" max="9" width="14.7265625" style="83" bestFit="1" customWidth="1"/>
    <col min="10" max="10" width="12.6328125" style="83" bestFit="1" customWidth="1"/>
    <col min="11" max="11" width="12" style="83" bestFit="1" customWidth="1"/>
    <col min="12" max="16384" width="8.6328125" style="83"/>
  </cols>
  <sheetData>
    <row r="1" spans="1:11" ht="17.5">
      <c r="A1" s="322" t="s">
        <v>571</v>
      </c>
      <c r="B1" s="322"/>
      <c r="C1" s="322"/>
      <c r="D1" s="322"/>
      <c r="E1" s="82"/>
    </row>
    <row r="2" spans="1:11" s="86" customFormat="1" ht="14">
      <c r="A2" s="323" t="s">
        <v>237</v>
      </c>
      <c r="B2" s="323"/>
      <c r="C2" s="323"/>
      <c r="D2" s="323"/>
      <c r="E2" s="85"/>
      <c r="G2" s="87"/>
      <c r="H2" s="87"/>
    </row>
    <row r="3" spans="1:11" s="86" customFormat="1" ht="14">
      <c r="A3" s="323" t="s">
        <v>586</v>
      </c>
      <c r="B3" s="323"/>
      <c r="C3" s="323"/>
      <c r="D3" s="323"/>
      <c r="E3" s="85"/>
      <c r="G3" s="87"/>
      <c r="H3" s="87"/>
    </row>
    <row r="4" spans="1:11">
      <c r="A4" s="88"/>
      <c r="B4" s="89"/>
      <c r="C4" s="89"/>
      <c r="D4" s="90"/>
      <c r="E4" s="90" t="s">
        <v>238</v>
      </c>
    </row>
    <row r="5" spans="1:11" ht="20" customHeight="1">
      <c r="A5" s="88"/>
      <c r="B5" s="89"/>
      <c r="C5" s="91" t="s">
        <v>239</v>
      </c>
      <c r="D5" s="91" t="s">
        <v>239</v>
      </c>
      <c r="E5" s="91" t="s">
        <v>239</v>
      </c>
    </row>
    <row r="6" spans="1:11" s="86" customFormat="1" ht="20" customHeight="1" thickBot="1">
      <c r="A6" s="92"/>
      <c r="B6" s="93" t="s">
        <v>240</v>
      </c>
      <c r="C6" s="94" t="s">
        <v>585</v>
      </c>
      <c r="D6" s="94" t="s">
        <v>241</v>
      </c>
      <c r="E6" s="94" t="s">
        <v>242</v>
      </c>
      <c r="G6" s="87"/>
      <c r="H6" s="87"/>
    </row>
    <row r="7" spans="1:11" ht="14.5" customHeight="1">
      <c r="A7" s="95" t="s">
        <v>243</v>
      </c>
      <c r="B7" s="89"/>
      <c r="C7" s="89"/>
      <c r="D7" s="89"/>
      <c r="E7" s="96"/>
    </row>
    <row r="8" spans="1:11" s="86" customFormat="1" ht="14.5" customHeight="1">
      <c r="A8" s="95" t="s">
        <v>244</v>
      </c>
      <c r="B8" s="96"/>
      <c r="C8" s="96"/>
      <c r="D8" s="96"/>
      <c r="E8" s="96"/>
      <c r="G8" s="87"/>
      <c r="H8" s="87"/>
    </row>
    <row r="9" spans="1:11" ht="14.5" customHeight="1">
      <c r="A9" s="97" t="s">
        <v>245</v>
      </c>
      <c r="B9" s="89">
        <v>3.1</v>
      </c>
      <c r="C9" s="98">
        <f>'3.1 10.18'!I44</f>
        <v>473888.75</v>
      </c>
      <c r="D9" s="98">
        <f>'3.1 10.18'!I42</f>
        <v>604474</v>
      </c>
      <c r="E9" s="98">
        <v>0</v>
      </c>
      <c r="G9" s="84">
        <f>+D9+D11</f>
        <v>604474</v>
      </c>
      <c r="H9" s="84">
        <f>+C9+C11</f>
        <v>473888.75</v>
      </c>
      <c r="J9" s="99"/>
      <c r="K9" s="100"/>
    </row>
    <row r="10" spans="1:11" ht="14.5" customHeight="1">
      <c r="A10" s="97" t="s">
        <v>246</v>
      </c>
      <c r="B10" s="89">
        <v>3.1</v>
      </c>
      <c r="C10" s="98">
        <f>'3.1 10.18'!C70</f>
        <v>15814476.15</v>
      </c>
      <c r="D10" s="98">
        <f>'3.1 10.18'!F70</f>
        <v>12985641.15</v>
      </c>
      <c r="E10" s="98">
        <f>'3.1 10.18'!G50</f>
        <v>12985641.15</v>
      </c>
      <c r="J10" s="99"/>
      <c r="K10" s="100"/>
    </row>
    <row r="11" spans="1:11" ht="14.5" customHeight="1">
      <c r="A11" s="97" t="s">
        <v>247</v>
      </c>
      <c r="B11" s="89">
        <v>3.2</v>
      </c>
      <c r="C11" s="98">
        <f>'[5]3.2'!E43</f>
        <v>0</v>
      </c>
      <c r="D11" s="98">
        <f>'[5]3.2'!E41</f>
        <v>0</v>
      </c>
      <c r="E11" s="98">
        <f>'[5]3.2'!E39</f>
        <v>0</v>
      </c>
      <c r="F11" s="100"/>
      <c r="G11" s="84">
        <v>821236.13</v>
      </c>
      <c r="H11" s="84">
        <f>+'SOI 10.18'!C17</f>
        <v>130585.25</v>
      </c>
      <c r="J11" s="99"/>
      <c r="K11" s="100"/>
    </row>
    <row r="12" spans="1:11" ht="14.5" customHeight="1">
      <c r="A12" s="97" t="s">
        <v>248</v>
      </c>
      <c r="B12" s="89">
        <v>3.3</v>
      </c>
      <c r="C12" s="98">
        <f>'[5]3.3'!C34</f>
        <v>0</v>
      </c>
      <c r="D12" s="98">
        <f>'[5]3.3'!D34</f>
        <v>0</v>
      </c>
      <c r="E12" s="98">
        <f>'[5]3.3'!E34</f>
        <v>0</v>
      </c>
      <c r="G12" s="84">
        <f>+G9-G11</f>
        <v>-216762.13</v>
      </c>
      <c r="H12" s="84">
        <f>SUM(H9:H11)</f>
        <v>604474</v>
      </c>
      <c r="J12" s="100"/>
      <c r="K12" s="100"/>
    </row>
    <row r="13" spans="1:11" ht="14.5" customHeight="1">
      <c r="A13" s="97" t="s">
        <v>249</v>
      </c>
      <c r="B13" s="89">
        <v>3.4</v>
      </c>
      <c r="C13" s="101">
        <v>0</v>
      </c>
      <c r="D13" s="101">
        <v>0</v>
      </c>
      <c r="E13" s="101">
        <v>0</v>
      </c>
      <c r="H13" s="84">
        <v>2699634.59</v>
      </c>
      <c r="I13" s="102">
        <f>+H12-H13</f>
        <v>-2095160.5899999999</v>
      </c>
    </row>
    <row r="14" spans="1:11" s="86" customFormat="1" ht="14.5" customHeight="1">
      <c r="A14" s="95" t="s">
        <v>250</v>
      </c>
      <c r="B14" s="96"/>
      <c r="C14" s="103">
        <f>SUM(C9:C13)</f>
        <v>16288364.9</v>
      </c>
      <c r="D14" s="103">
        <f>SUM(D9:D13)</f>
        <v>13590115.15</v>
      </c>
      <c r="E14" s="103">
        <f>SUM(E9:E13)</f>
        <v>12985641.15</v>
      </c>
      <c r="G14" s="87"/>
      <c r="H14" s="87"/>
    </row>
    <row r="15" spans="1:11" s="86" customFormat="1" ht="14.5" customHeight="1">
      <c r="A15" s="95" t="s">
        <v>168</v>
      </c>
      <c r="B15" s="96"/>
      <c r="C15" s="96"/>
      <c r="D15" s="96"/>
      <c r="E15" s="104"/>
      <c r="G15" s="87"/>
      <c r="H15" s="87"/>
    </row>
    <row r="16" spans="1:11" ht="14.5" customHeight="1">
      <c r="A16" s="97" t="s">
        <v>248</v>
      </c>
      <c r="B16" s="89">
        <v>3.3</v>
      </c>
      <c r="C16" s="98">
        <f>'[5]3.3'!C35</f>
        <v>0</v>
      </c>
      <c r="D16" s="98">
        <f>'[5]3.3'!D35</f>
        <v>0</v>
      </c>
      <c r="E16" s="98">
        <f>'[5]3.3'!E35</f>
        <v>0</v>
      </c>
    </row>
    <row r="17" spans="1:11" ht="14.5" customHeight="1">
      <c r="A17" s="97" t="s">
        <v>251</v>
      </c>
      <c r="B17" s="89">
        <v>3.4</v>
      </c>
      <c r="C17" s="98">
        <f>'3.4 to 3.6 ao 10.18'!C32</f>
        <v>21010111.5</v>
      </c>
      <c r="D17" s="98">
        <f>'3.4 to 3.6 ao 10.18'!D32</f>
        <v>15311962</v>
      </c>
      <c r="E17" s="98">
        <f>'3.4 to 3.6 ao 10.18'!E32</f>
        <v>21788699</v>
      </c>
      <c r="G17" s="84" t="s">
        <v>252</v>
      </c>
      <c r="J17" s="99"/>
      <c r="K17" s="100"/>
    </row>
    <row r="18" spans="1:11" ht="14.5" customHeight="1">
      <c r="A18" s="97" t="s">
        <v>253</v>
      </c>
      <c r="B18" s="89">
        <v>3.5</v>
      </c>
      <c r="C18" s="98"/>
      <c r="D18" s="98">
        <f>+'3.4 to 3.6 ao 10.18'!D47</f>
        <v>0</v>
      </c>
      <c r="E18" s="98">
        <f>+'3.4 to 3.6 ao 10.18'!E47</f>
        <v>0</v>
      </c>
      <c r="G18" s="84">
        <v>10922984.810000001</v>
      </c>
      <c r="J18" s="99"/>
      <c r="K18" s="100"/>
    </row>
    <row r="19" spans="1:11" ht="14.5" customHeight="1">
      <c r="A19" s="97" t="s">
        <v>254</v>
      </c>
      <c r="B19" s="89">
        <v>3.6</v>
      </c>
      <c r="C19" s="98">
        <f>'3.4 to 3.6 ao 10.18'!C58</f>
        <v>12637.349999999977</v>
      </c>
      <c r="D19" s="98">
        <f>'3.4 to 3.6 ao 10.18'!D58</f>
        <v>891197</v>
      </c>
      <c r="E19" s="98">
        <f>'3.4 to 3.6 ao 10.18'!E58</f>
        <v>67329</v>
      </c>
      <c r="J19" s="100"/>
      <c r="K19" s="100"/>
    </row>
    <row r="20" spans="1:11" ht="14.5" customHeight="1">
      <c r="A20" s="97" t="s">
        <v>255</v>
      </c>
      <c r="B20" s="89">
        <v>3.7</v>
      </c>
      <c r="C20" s="98">
        <f>+'3.4 to 3.6 ao 10.18'!C68</f>
        <v>0</v>
      </c>
      <c r="D20" s="98">
        <f>+'3.4 to 3.6 ao 10.18'!D68</f>
        <v>0</v>
      </c>
      <c r="E20" s="98">
        <f>+'3.4 to 3.6 ao 10.18'!E68</f>
        <v>0</v>
      </c>
      <c r="J20" s="99"/>
      <c r="K20" s="100"/>
    </row>
    <row r="21" spans="1:11" s="86" customFormat="1" ht="14.5" customHeight="1">
      <c r="A21" s="95" t="s">
        <v>256</v>
      </c>
      <c r="B21" s="96"/>
      <c r="C21" s="105">
        <f>SUM(C16:C20)</f>
        <v>21022748.850000001</v>
      </c>
      <c r="D21" s="105">
        <f>SUM(D16:D20)</f>
        <v>16203159</v>
      </c>
      <c r="E21" s="105">
        <f>SUM(E16:E20)</f>
        <v>21856028</v>
      </c>
      <c r="G21" s="87"/>
      <c r="H21" s="87"/>
    </row>
    <row r="22" spans="1:11" s="86" customFormat="1" ht="14.5" customHeight="1" thickBot="1">
      <c r="A22" s="95" t="s">
        <v>257</v>
      </c>
      <c r="B22" s="96"/>
      <c r="C22" s="106">
        <f>C21+C14</f>
        <v>37311113.75</v>
      </c>
      <c r="D22" s="107">
        <f>D21+D14</f>
        <v>29793274.149999999</v>
      </c>
      <c r="E22" s="107">
        <f>E21+E14</f>
        <v>34841669.149999999</v>
      </c>
      <c r="F22" s="108"/>
      <c r="G22" s="87"/>
      <c r="H22" s="87"/>
    </row>
    <row r="23" spans="1:11" s="86" customFormat="1" ht="14.5" customHeight="1" thickTop="1">
      <c r="A23" s="95" t="s">
        <v>258</v>
      </c>
      <c r="B23" s="96"/>
      <c r="C23" s="96"/>
      <c r="D23" s="96"/>
      <c r="E23" s="96"/>
      <c r="G23" s="87"/>
      <c r="H23" s="87"/>
    </row>
    <row r="24" spans="1:11" s="86" customFormat="1" ht="14.5" customHeight="1">
      <c r="A24" s="95" t="s">
        <v>259</v>
      </c>
      <c r="B24" s="96"/>
      <c r="C24" s="96"/>
      <c r="D24" s="96"/>
      <c r="E24" s="96"/>
      <c r="G24" s="87"/>
      <c r="H24" s="87"/>
    </row>
    <row r="25" spans="1:11" ht="14.5" customHeight="1">
      <c r="A25" s="97" t="s">
        <v>114</v>
      </c>
      <c r="B25" s="89">
        <v>3.8</v>
      </c>
      <c r="C25" s="98">
        <f>'3.7 to 3.8 10.18'!D31</f>
        <v>10290000</v>
      </c>
      <c r="D25" s="98">
        <f>'3.7 to 3.8 10.18'!E31</f>
        <v>12600000</v>
      </c>
      <c r="E25" s="98">
        <v>0</v>
      </c>
      <c r="G25" s="84">
        <v>6175421.8300000001</v>
      </c>
      <c r="H25" s="84">
        <f>+G25+D27</f>
        <v>5801845.8300000001</v>
      </c>
      <c r="J25" s="100"/>
      <c r="K25" s="100"/>
    </row>
    <row r="26" spans="1:11" ht="14.5" customHeight="1">
      <c r="A26" s="97" t="s">
        <v>260</v>
      </c>
      <c r="B26" s="89"/>
      <c r="C26" s="98">
        <f>'3.7 to 3.8 10.18'!D38</f>
        <v>22500000</v>
      </c>
      <c r="D26" s="98">
        <v>0</v>
      </c>
      <c r="E26" s="98">
        <f>'3.7 to 3.8 10.18'!E38</f>
        <v>0</v>
      </c>
      <c r="J26" s="100"/>
      <c r="K26" s="100"/>
    </row>
    <row r="27" spans="1:11" ht="14.5" customHeight="1">
      <c r="A27" s="97" t="s">
        <v>261</v>
      </c>
      <c r="B27" s="89">
        <v>3.9</v>
      </c>
      <c r="C27" s="101">
        <f>'3.7 to 3.8 10.18'!D47</f>
        <v>-538061.25</v>
      </c>
      <c r="D27" s="101">
        <f>'3.7 to 3.8 10.18'!E47</f>
        <v>-373576</v>
      </c>
      <c r="E27" s="101">
        <f>'3.7 to 3.8 10.18'!E45</f>
        <v>-196480</v>
      </c>
      <c r="G27" s="84">
        <v>-6165121.9300000221</v>
      </c>
      <c r="H27" s="84">
        <f>+G27-D27</f>
        <v>-5791545.9300000221</v>
      </c>
      <c r="J27" s="100"/>
      <c r="K27" s="100"/>
    </row>
    <row r="28" spans="1:11" s="86" customFormat="1" ht="14.5" customHeight="1">
      <c r="A28" s="95" t="s">
        <v>262</v>
      </c>
      <c r="B28" s="96"/>
      <c r="C28" s="109">
        <f>SUM(C25:C27)</f>
        <v>32251938.75</v>
      </c>
      <c r="D28" s="109">
        <f>SUM(D25:D27)</f>
        <v>12226424</v>
      </c>
      <c r="E28" s="109">
        <f>SUM(E25:E27)</f>
        <v>-196480</v>
      </c>
      <c r="G28" s="87"/>
      <c r="H28" s="87">
        <v>79025.120000000112</v>
      </c>
    </row>
    <row r="29" spans="1:11" ht="14.5" customHeight="1">
      <c r="A29" s="95" t="s">
        <v>263</v>
      </c>
      <c r="B29" s="89"/>
      <c r="C29" s="89"/>
      <c r="D29" s="98"/>
      <c r="E29" s="89"/>
    </row>
    <row r="30" spans="1:11" ht="14.5" customHeight="1">
      <c r="A30" s="95" t="s">
        <v>264</v>
      </c>
      <c r="B30" s="89"/>
      <c r="C30" s="89"/>
      <c r="D30" s="98"/>
      <c r="E30" s="89"/>
    </row>
    <row r="31" spans="1:11" ht="14.5" customHeight="1">
      <c r="A31" s="97" t="s">
        <v>265</v>
      </c>
      <c r="B31" s="110" t="s">
        <v>266</v>
      </c>
      <c r="C31" s="98">
        <f>'3.9 to 3.11 AO 10.18'!D25</f>
        <v>3870000</v>
      </c>
      <c r="D31" s="98">
        <f>'3.9 to 3.11 AO 10.18'!E25</f>
        <v>17165000</v>
      </c>
      <c r="E31" s="98">
        <f>'3.9 to 3.11 AO 10.18'!F25</f>
        <v>20756010</v>
      </c>
    </row>
    <row r="32" spans="1:11" ht="14.5" customHeight="1">
      <c r="A32" s="97" t="s">
        <v>267</v>
      </c>
      <c r="B32" s="111"/>
      <c r="C32" s="98">
        <f>'3.9 to 3.11 AO 10.18'!D36</f>
        <v>0</v>
      </c>
      <c r="D32" s="98">
        <f>'3.9 to 3.11 AO 10.18'!E36</f>
        <v>0</v>
      </c>
      <c r="E32" s="98">
        <f>'3.9 to 3.11 AO 10.18'!F36</f>
        <v>0</v>
      </c>
    </row>
    <row r="33" spans="1:11" ht="14.5" customHeight="1">
      <c r="A33" s="97" t="s">
        <v>268</v>
      </c>
      <c r="B33" s="89"/>
      <c r="C33" s="101"/>
      <c r="D33" s="101">
        <v>0</v>
      </c>
      <c r="E33" s="101">
        <v>0</v>
      </c>
    </row>
    <row r="34" spans="1:11" s="86" customFormat="1" ht="14.5" customHeight="1">
      <c r="A34" s="95" t="s">
        <v>269</v>
      </c>
      <c r="B34" s="96"/>
      <c r="C34" s="109">
        <f>SUM(C31:C33)</f>
        <v>3870000</v>
      </c>
      <c r="D34" s="105">
        <f>SUM(D31:D33)</f>
        <v>17165000</v>
      </c>
      <c r="E34" s="105">
        <f>SUM(E31:E33)</f>
        <v>20756010</v>
      </c>
      <c r="G34" s="87"/>
      <c r="H34" s="87"/>
    </row>
    <row r="35" spans="1:11" ht="14.5" customHeight="1">
      <c r="A35" s="95" t="s">
        <v>127</v>
      </c>
      <c r="B35" s="89"/>
      <c r="C35" s="89"/>
      <c r="D35" s="98"/>
      <c r="E35" s="98"/>
    </row>
    <row r="36" spans="1:11" ht="14.5" customHeight="1">
      <c r="A36" s="97" t="s">
        <v>265</v>
      </c>
      <c r="B36" s="110" t="s">
        <v>266</v>
      </c>
      <c r="C36" s="98">
        <f>'3.9 to 3.11 AO 10.18'!D26</f>
        <v>0</v>
      </c>
      <c r="D36" s="98">
        <f>'3.9 to 3.11 AO 10.18'!E26</f>
        <v>0</v>
      </c>
      <c r="E36" s="98">
        <f>'3.9 to 3.11 AO 10.18'!F26</f>
        <v>0</v>
      </c>
      <c r="J36" s="100"/>
      <c r="K36" s="100"/>
    </row>
    <row r="37" spans="1:11" ht="14.5" customHeight="1">
      <c r="A37" s="97" t="s">
        <v>270</v>
      </c>
      <c r="B37" s="112">
        <v>3.11</v>
      </c>
      <c r="C37" s="98">
        <f>'3.9 to 3.11 AO 10.18'!D49+'3.9 to 3.11 AO 10.18'!D61</f>
        <v>1189175</v>
      </c>
      <c r="D37" s="98">
        <f>'3.9 to 3.11 AO 10.18'!E49</f>
        <v>401850</v>
      </c>
      <c r="E37" s="98">
        <f>'3.9 to 3.11 AO 10.18'!F49</f>
        <v>28498</v>
      </c>
      <c r="J37" s="100"/>
      <c r="K37" s="100"/>
    </row>
    <row r="38" spans="1:11" ht="14.5" customHeight="1">
      <c r="A38" s="97" t="s">
        <v>271</v>
      </c>
      <c r="B38" s="89"/>
      <c r="C38" s="98">
        <f>'3.9 to 3.11 AO 10.18'!D69</f>
        <v>0</v>
      </c>
      <c r="D38" s="98">
        <f>'3.9 to 3.11 AO 10.18'!E69</f>
        <v>0</v>
      </c>
      <c r="E38" s="98">
        <f>'3.9 to 3.11 AO 10.18'!F69</f>
        <v>0</v>
      </c>
    </row>
    <row r="39" spans="1:11" ht="14.5" customHeight="1">
      <c r="A39" s="97" t="s">
        <v>267</v>
      </c>
      <c r="B39" s="89"/>
      <c r="C39" s="98">
        <v>0</v>
      </c>
      <c r="D39" s="98">
        <v>0</v>
      </c>
      <c r="E39" s="98">
        <v>0</v>
      </c>
    </row>
    <row r="40" spans="1:11" ht="14.5" customHeight="1">
      <c r="A40" s="97" t="s">
        <v>268</v>
      </c>
      <c r="B40" s="89"/>
      <c r="C40" s="101">
        <v>0</v>
      </c>
      <c r="D40" s="101">
        <v>0</v>
      </c>
      <c r="E40" s="101">
        <v>0</v>
      </c>
    </row>
    <row r="41" spans="1:11" s="86" customFormat="1" ht="14.5" customHeight="1">
      <c r="A41" s="95" t="s">
        <v>272</v>
      </c>
      <c r="B41" s="96"/>
      <c r="C41" s="105">
        <f>SUM(C36:C40)</f>
        <v>1189175</v>
      </c>
      <c r="D41" s="105">
        <f>SUM(D36:D40)</f>
        <v>401850</v>
      </c>
      <c r="E41" s="105">
        <f>SUM(E36:E40)</f>
        <v>28498</v>
      </c>
      <c r="F41" s="83"/>
      <c r="G41" s="87"/>
      <c r="H41" s="87"/>
    </row>
    <row r="42" spans="1:11" s="86" customFormat="1" ht="14.5" customHeight="1">
      <c r="A42" s="95" t="s">
        <v>273</v>
      </c>
      <c r="B42" s="96"/>
      <c r="C42" s="113">
        <f>C34+C41</f>
        <v>5059175</v>
      </c>
      <c r="D42" s="113">
        <f>D34+D41</f>
        <v>17566850</v>
      </c>
      <c r="E42" s="113">
        <f>E34+E41</f>
        <v>20784508</v>
      </c>
      <c r="G42" s="87"/>
      <c r="H42" s="87"/>
    </row>
    <row r="43" spans="1:11" s="86" customFormat="1" ht="14.5" customHeight="1" thickBot="1">
      <c r="A43" s="95" t="s">
        <v>274</v>
      </c>
      <c r="B43" s="96"/>
      <c r="C43" s="107">
        <f>C42+C28</f>
        <v>37311113.75</v>
      </c>
      <c r="D43" s="107">
        <f>D42+D28</f>
        <v>29793274</v>
      </c>
      <c r="E43" s="107">
        <f>E42+E28</f>
        <v>20588028</v>
      </c>
      <c r="G43" s="87"/>
      <c r="H43" s="87"/>
    </row>
    <row r="44" spans="1:11" s="86" customFormat="1" ht="15" customHeight="1" thickTop="1">
      <c r="A44" s="95"/>
      <c r="B44" s="96"/>
      <c r="C44" s="114"/>
      <c r="D44" s="114"/>
      <c r="E44" s="114"/>
      <c r="G44" s="87"/>
      <c r="H44" s="87"/>
    </row>
    <row r="45" spans="1:11" s="86" customFormat="1" ht="15" customHeight="1">
      <c r="A45" s="95"/>
      <c r="B45" s="96"/>
      <c r="C45" s="114"/>
      <c r="D45" s="114"/>
      <c r="E45" s="114"/>
      <c r="G45" s="87"/>
      <c r="H45" s="87"/>
    </row>
    <row r="46" spans="1:11" s="86" customFormat="1" ht="15" customHeight="1">
      <c r="A46" s="95"/>
      <c r="B46" s="96"/>
      <c r="C46" s="114"/>
      <c r="D46" s="114"/>
      <c r="E46" s="114"/>
      <c r="G46" s="87"/>
      <c r="H46" s="87"/>
    </row>
    <row r="47" spans="1:11" s="86" customFormat="1" ht="15" customHeight="1">
      <c r="A47" s="95"/>
      <c r="B47" s="96"/>
      <c r="C47" s="114"/>
      <c r="D47" s="114"/>
      <c r="E47" s="114"/>
      <c r="G47" s="87"/>
      <c r="H47" s="87"/>
    </row>
    <row r="48" spans="1:11" s="86" customFormat="1" ht="15" customHeight="1">
      <c r="A48" s="95"/>
      <c r="B48" s="96"/>
      <c r="C48" s="114"/>
      <c r="D48" s="114"/>
      <c r="E48" s="114"/>
      <c r="G48" s="87"/>
      <c r="H48" s="87"/>
    </row>
    <row r="49" spans="3:5">
      <c r="C49" s="115">
        <f>C22-C43</f>
        <v>0</v>
      </c>
      <c r="D49" s="115">
        <f>D22-D43</f>
        <v>0.14999999850988388</v>
      </c>
      <c r="E49" s="116">
        <f>E22-E43</f>
        <v>14253641.149999999</v>
      </c>
    </row>
    <row r="50" spans="3:5">
      <c r="C50" s="117"/>
    </row>
    <row r="51" spans="3:5">
      <c r="C51" s="117"/>
    </row>
  </sheetData>
  <mergeCells count="3">
    <mergeCell ref="A1:D1"/>
    <mergeCell ref="A2:D2"/>
    <mergeCell ref="A3:D3"/>
  </mergeCells>
  <pageMargins left="0.7" right="0.7" top="0.75" bottom="0.75" header="0.3" footer="0.3"/>
  <pageSetup paperSize="9" scale="10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CEBA-8192-47A1-BE2A-9340BB1B5FE3}">
  <sheetPr>
    <tabColor rgb="FFFF0000"/>
  </sheetPr>
  <dimension ref="A1:H24"/>
  <sheetViews>
    <sheetView showGridLines="0" view="pageBreakPreview" topLeftCell="A17" zoomScale="120" zoomScaleNormal="130" zoomScaleSheetLayoutView="120" workbookViewId="0">
      <selection activeCell="C8" sqref="C8"/>
    </sheetView>
  </sheetViews>
  <sheetFormatPr defaultColWidth="8.6328125" defaultRowHeight="13.5"/>
  <cols>
    <col min="1" max="1" width="45.453125" style="83" customWidth="1"/>
    <col min="2" max="2" width="8" style="118" customWidth="1"/>
    <col min="3" max="3" width="22.453125" style="83" customWidth="1"/>
    <col min="4" max="4" width="19.453125" style="83" customWidth="1"/>
    <col min="5" max="5" width="14.1796875" style="83" bestFit="1" customWidth="1"/>
    <col min="6" max="6" width="13.81640625" style="83" bestFit="1" customWidth="1"/>
    <col min="7" max="7" width="14.36328125" style="83" bestFit="1" customWidth="1"/>
    <col min="8" max="16384" width="8.6328125" style="83"/>
  </cols>
  <sheetData>
    <row r="1" spans="1:8" ht="17.5">
      <c r="A1" s="322" t="str">
        <f>'SOFP  10.18'!A1</f>
        <v>Magic Arun Hydropower Private Limitd</v>
      </c>
      <c r="B1" s="322"/>
      <c r="C1" s="322"/>
      <c r="D1" s="322"/>
    </row>
    <row r="3" spans="1:8" ht="14">
      <c r="A3" s="323" t="s">
        <v>275</v>
      </c>
      <c r="B3" s="323"/>
      <c r="C3" s="323"/>
      <c r="D3" s="323"/>
    </row>
    <row r="4" spans="1:8" ht="14">
      <c r="A4" s="323" t="s">
        <v>587</v>
      </c>
      <c r="B4" s="323"/>
      <c r="C4" s="323"/>
      <c r="D4" s="323"/>
    </row>
    <row r="5" spans="1:8">
      <c r="D5" s="119" t="s">
        <v>276</v>
      </c>
    </row>
    <row r="6" spans="1:8">
      <c r="D6" s="119" t="s">
        <v>238</v>
      </c>
    </row>
    <row r="7" spans="1:8" s="86" customFormat="1" ht="20" customHeight="1" thickBot="1">
      <c r="A7" s="92" t="s">
        <v>1</v>
      </c>
      <c r="B7" s="93" t="s">
        <v>240</v>
      </c>
      <c r="C7" s="120" t="s">
        <v>588</v>
      </c>
      <c r="D7" s="120" t="s">
        <v>277</v>
      </c>
    </row>
    <row r="8" spans="1:8" s="86" customFormat="1" ht="20" customHeight="1">
      <c r="A8" s="121" t="s">
        <v>278</v>
      </c>
      <c r="B8" s="122">
        <v>3.12</v>
      </c>
      <c r="C8" s="123">
        <f>'3.12 to 3.18 ao 10.18'!D12</f>
        <v>0</v>
      </c>
      <c r="D8" s="123">
        <f>'3.12 to 3.18 ao 10.18'!E12</f>
        <v>0</v>
      </c>
      <c r="F8" s="124"/>
      <c r="G8" s="100">
        <f>C8-D8</f>
        <v>0</v>
      </c>
      <c r="H8" s="83" t="e">
        <f>G8/D8</f>
        <v>#DIV/0!</v>
      </c>
    </row>
    <row r="9" spans="1:8" ht="20" customHeight="1">
      <c r="A9" s="121" t="s">
        <v>279</v>
      </c>
      <c r="B9" s="121"/>
      <c r="C9" s="123">
        <v>0</v>
      </c>
      <c r="D9" s="123">
        <v>0</v>
      </c>
    </row>
    <row r="10" spans="1:8" ht="20" customHeight="1">
      <c r="A10" s="121" t="s">
        <v>280</v>
      </c>
      <c r="B10" s="122">
        <v>3.13</v>
      </c>
      <c r="C10" s="125">
        <f>'3.12 to 3.18 ao 10.18'!D21</f>
        <v>0</v>
      </c>
      <c r="D10" s="125">
        <f>'3.12 to 3.18 ao 10.18'!E21</f>
        <v>0</v>
      </c>
    </row>
    <row r="11" spans="1:8" s="86" customFormat="1" ht="20" customHeight="1">
      <c r="A11" s="126" t="s">
        <v>281</v>
      </c>
      <c r="B11" s="127"/>
      <c r="C11" s="128">
        <f>SUM(C8:C10)</f>
        <v>0</v>
      </c>
      <c r="D11" s="128">
        <f>SUM(D8:D10)</f>
        <v>0</v>
      </c>
    </row>
    <row r="12" spans="1:8" ht="20" customHeight="1">
      <c r="A12" s="121" t="s">
        <v>282</v>
      </c>
      <c r="B12" s="122">
        <v>3.14</v>
      </c>
      <c r="C12" s="123">
        <f>'3.12 to 3.18 ao 10.18'!D30</f>
        <v>0</v>
      </c>
      <c r="D12" s="123">
        <f>'3.12 to 3.18 ao 10.18'!E30</f>
        <v>0</v>
      </c>
      <c r="E12" s="102" t="e">
        <f>(C12+C13)/C8</f>
        <v>#DIV/0!</v>
      </c>
      <c r="F12" s="102" t="e">
        <f>(D12+D13)/D8</f>
        <v>#DIV/0!</v>
      </c>
      <c r="G12" s="100">
        <f t="shared" ref="G12:G17" si="0">C12-D12</f>
        <v>0</v>
      </c>
      <c r="H12" s="83" t="e">
        <f t="shared" ref="H12:H17" si="1">G12/D12</f>
        <v>#DIV/0!</v>
      </c>
    </row>
    <row r="13" spans="1:8" ht="20" customHeight="1">
      <c r="A13" s="121" t="s">
        <v>283</v>
      </c>
      <c r="B13" s="122">
        <v>3.15</v>
      </c>
      <c r="C13" s="123">
        <f>+'3.12 to 3.18 ao 10.18'!D38</f>
        <v>0</v>
      </c>
      <c r="D13" s="123">
        <f>+'3.12 to 3.18 ao 10.18'!E38</f>
        <v>0</v>
      </c>
      <c r="G13" s="100">
        <f t="shared" si="0"/>
        <v>0</v>
      </c>
      <c r="H13" s="83" t="e">
        <f t="shared" si="1"/>
        <v>#DIV/0!</v>
      </c>
    </row>
    <row r="14" spans="1:8" ht="20" customHeight="1">
      <c r="A14" s="121" t="s">
        <v>284</v>
      </c>
      <c r="B14" s="122">
        <v>3.16</v>
      </c>
      <c r="C14" s="123">
        <f>+'3.12 to 3.18 ao 10.18'!D50</f>
        <v>0</v>
      </c>
      <c r="D14" s="123">
        <f>+'3.12 to 3.18 ao 10.18'!E50</f>
        <v>0</v>
      </c>
      <c r="G14" s="100">
        <f t="shared" si="0"/>
        <v>0</v>
      </c>
      <c r="H14" s="83" t="e">
        <f t="shared" si="1"/>
        <v>#DIV/0!</v>
      </c>
    </row>
    <row r="15" spans="1:8" ht="20" customHeight="1">
      <c r="A15" s="121" t="s">
        <v>285</v>
      </c>
      <c r="B15" s="122">
        <v>3.17</v>
      </c>
      <c r="C15" s="123">
        <f>'3.12 to 3.18 ao 10.18'!D81</f>
        <v>33900</v>
      </c>
      <c r="D15" s="123">
        <f>'3.12 to 3.18 ao 10.18'!E81</f>
        <v>29382</v>
      </c>
      <c r="G15" s="100">
        <f t="shared" si="0"/>
        <v>4518</v>
      </c>
      <c r="H15" s="83">
        <f t="shared" si="1"/>
        <v>0.15376761282417806</v>
      </c>
    </row>
    <row r="16" spans="1:8" ht="20" customHeight="1">
      <c r="A16" s="121" t="s">
        <v>286</v>
      </c>
      <c r="B16" s="122">
        <v>3.18</v>
      </c>
      <c r="C16" s="123">
        <f>'3.12 to 3.18 ao 10.18'!D86</f>
        <v>0</v>
      </c>
      <c r="D16" s="123">
        <f>'3.12 to 3.18 ao 10.18'!E86</f>
        <v>0</v>
      </c>
      <c r="G16" s="100">
        <f t="shared" si="0"/>
        <v>0</v>
      </c>
      <c r="H16" s="83" t="e">
        <f t="shared" si="1"/>
        <v>#DIV/0!</v>
      </c>
    </row>
    <row r="17" spans="1:8" ht="20" customHeight="1">
      <c r="A17" s="121" t="s">
        <v>287</v>
      </c>
      <c r="B17" s="122" t="s">
        <v>288</v>
      </c>
      <c r="C17" s="123">
        <f>+'3.1 10.18'!I30+'[5]3.2'!E32</f>
        <v>130585.25</v>
      </c>
      <c r="D17" s="123">
        <f>+'3.1 10.18'!I28+'[5]3.2'!E30</f>
        <v>147714</v>
      </c>
      <c r="E17" s="84">
        <v>187078.71</v>
      </c>
      <c r="F17" s="100">
        <f>+D17-E17</f>
        <v>-39364.709999999992</v>
      </c>
      <c r="G17" s="100">
        <f t="shared" si="0"/>
        <v>-17128.75</v>
      </c>
      <c r="H17" s="83">
        <f t="shared" si="1"/>
        <v>-0.11595887999783365</v>
      </c>
    </row>
    <row r="18" spans="1:8" s="86" customFormat="1" ht="20" customHeight="1">
      <c r="A18" s="126" t="s">
        <v>289</v>
      </c>
      <c r="B18" s="127"/>
      <c r="C18" s="129">
        <f>SUM(C12:C17)</f>
        <v>164485.25</v>
      </c>
      <c r="D18" s="129">
        <f>SUM(D12:D17)</f>
        <v>177096</v>
      </c>
    </row>
    <row r="19" spans="1:8" s="86" customFormat="1" ht="20" customHeight="1">
      <c r="A19" s="126" t="s">
        <v>290</v>
      </c>
      <c r="B19" s="127"/>
      <c r="C19" s="130">
        <f>C11-C18</f>
        <v>-164485.25</v>
      </c>
      <c r="D19" s="128">
        <f>D11-D18</f>
        <v>-177096</v>
      </c>
      <c r="E19" s="86">
        <v>-2368782.9299999997</v>
      </c>
      <c r="F19" s="100">
        <f>+D19-E19</f>
        <v>2191686.9299999997</v>
      </c>
    </row>
    <row r="20" spans="1:8" ht="20" customHeight="1">
      <c r="A20" s="121" t="s">
        <v>291</v>
      </c>
      <c r="B20" s="131"/>
      <c r="C20" s="132">
        <f>SUM(C21:C22)</f>
        <v>0</v>
      </c>
      <c r="D20" s="132">
        <f>SUM(D21:D22)</f>
        <v>0</v>
      </c>
      <c r="F20" s="100"/>
    </row>
    <row r="21" spans="1:8" ht="20" customHeight="1">
      <c r="A21" s="133" t="s">
        <v>292</v>
      </c>
      <c r="B21" s="122"/>
      <c r="C21" s="123">
        <v>0</v>
      </c>
      <c r="D21" s="134">
        <v>0</v>
      </c>
    </row>
    <row r="22" spans="1:8" ht="20" customHeight="1">
      <c r="A22" s="135" t="s">
        <v>293</v>
      </c>
      <c r="B22" s="122"/>
      <c r="C22" s="123">
        <v>0</v>
      </c>
      <c r="D22" s="136">
        <v>0</v>
      </c>
    </row>
    <row r="23" spans="1:8" s="86" customFormat="1" ht="20" customHeight="1" thickBot="1">
      <c r="A23" s="126" t="s">
        <v>294</v>
      </c>
      <c r="B23" s="127"/>
      <c r="C23" s="137">
        <f>C19-C20</f>
        <v>-164485.25</v>
      </c>
      <c r="D23" s="138">
        <f>D19-D20</f>
        <v>-177096</v>
      </c>
    </row>
    <row r="24" spans="1:8" ht="14" thickTop="1"/>
  </sheetData>
  <mergeCells count="3">
    <mergeCell ref="A1:D1"/>
    <mergeCell ref="A3:D3"/>
    <mergeCell ref="A4:D4"/>
  </mergeCells>
  <pageMargins left="0.7" right="0.7" top="0.75" bottom="0.75" header="0.3" footer="0.3"/>
  <pageSetup paperSize="9" scale="9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E54FB-AE3F-43EB-A88C-0E7FCC9DAABD}">
  <sheetPr>
    <tabColor rgb="FFFFC000"/>
  </sheetPr>
  <dimension ref="A1:I20"/>
  <sheetViews>
    <sheetView showGridLines="0" view="pageBreakPreview" topLeftCell="A11" zoomScale="110" zoomScaleNormal="140" zoomScaleSheetLayoutView="110" workbookViewId="0">
      <selection activeCell="C37" sqref="C37"/>
    </sheetView>
  </sheetViews>
  <sheetFormatPr defaultColWidth="8.6328125" defaultRowHeight="13.5"/>
  <cols>
    <col min="1" max="1" width="44.453125" style="83" customWidth="1"/>
    <col min="2" max="2" width="8.453125" style="83" customWidth="1"/>
    <col min="3" max="3" width="21.453125" style="83" customWidth="1"/>
    <col min="4" max="4" width="17.6328125" style="83" customWidth="1"/>
    <col min="5" max="5" width="20.453125" style="83" customWidth="1"/>
    <col min="6" max="6" width="14.81640625" style="83" customWidth="1"/>
    <col min="7" max="7" width="17.36328125" style="83" customWidth="1"/>
    <col min="8" max="8" width="11.81640625" style="83" bestFit="1" customWidth="1"/>
    <col min="9" max="16384" width="8.6328125" style="83"/>
  </cols>
  <sheetData>
    <row r="1" spans="1:9" ht="17.5">
      <c r="A1" s="322" t="str">
        <f>'SOI 10.18'!A1</f>
        <v>Magic Arun Hydropower Private Limitd</v>
      </c>
      <c r="B1" s="322"/>
      <c r="C1" s="322"/>
      <c r="D1" s="322"/>
      <c r="E1" s="322"/>
      <c r="F1" s="322"/>
      <c r="G1" s="322"/>
    </row>
    <row r="2" spans="1:9">
      <c r="A2" s="324"/>
      <c r="B2" s="324"/>
      <c r="C2" s="324"/>
      <c r="D2" s="324"/>
      <c r="E2" s="324"/>
      <c r="F2" s="324"/>
      <c r="G2" s="324"/>
    </row>
    <row r="3" spans="1:9" ht="14">
      <c r="A3" s="323" t="s">
        <v>295</v>
      </c>
      <c r="B3" s="323"/>
      <c r="C3" s="323"/>
      <c r="D3" s="323"/>
      <c r="E3" s="323"/>
      <c r="F3" s="323"/>
      <c r="G3" s="323"/>
    </row>
    <row r="4" spans="1:9" ht="14">
      <c r="A4" s="323" t="str">
        <f>'SOI 10.18'!A4</f>
        <v xml:space="preserve">For the Year Ended 18 Magh 2082 </v>
      </c>
      <c r="B4" s="323"/>
      <c r="C4" s="323"/>
      <c r="D4" s="323"/>
      <c r="E4" s="323"/>
      <c r="F4" s="323"/>
      <c r="G4" s="323"/>
    </row>
    <row r="6" spans="1:9" ht="14">
      <c r="G6" s="139" t="s">
        <v>276</v>
      </c>
    </row>
    <row r="7" spans="1:9" s="142" customFormat="1" ht="20" customHeight="1" thickBot="1">
      <c r="A7" s="140" t="s">
        <v>1</v>
      </c>
      <c r="B7" s="141"/>
      <c r="C7" s="141" t="s">
        <v>114</v>
      </c>
      <c r="D7" s="141" t="s">
        <v>260</v>
      </c>
      <c r="E7" s="93" t="s">
        <v>261</v>
      </c>
      <c r="F7" s="141" t="s">
        <v>296</v>
      </c>
      <c r="G7" s="141" t="s">
        <v>109</v>
      </c>
    </row>
    <row r="8" spans="1:9" ht="20" customHeight="1">
      <c r="A8" s="143" t="s">
        <v>297</v>
      </c>
      <c r="B8" s="144"/>
      <c r="C8" s="145">
        <f>+'SOFP  10.18'!E25</f>
        <v>0</v>
      </c>
      <c r="D8" s="145">
        <v>7600000</v>
      </c>
      <c r="E8" s="145">
        <f>+'3.7 to 3.8 10.18'!E45</f>
        <v>-196480</v>
      </c>
      <c r="F8" s="145">
        <v>0</v>
      </c>
      <c r="G8" s="146">
        <f>SUM(C8:F8)</f>
        <v>7403520</v>
      </c>
    </row>
    <row r="9" spans="1:9" ht="20" customHeight="1">
      <c r="A9" s="147" t="s">
        <v>298</v>
      </c>
      <c r="B9" s="147"/>
      <c r="C9" s="148">
        <v>0</v>
      </c>
      <c r="D9" s="148">
        <v>0</v>
      </c>
      <c r="E9" s="148">
        <f>SUM([5]Reco!F5:F8)</f>
        <v>0</v>
      </c>
      <c r="F9" s="148">
        <v>0</v>
      </c>
      <c r="G9" s="149">
        <f>SUM(C9:F9)</f>
        <v>0</v>
      </c>
    </row>
    <row r="10" spans="1:9" ht="20" customHeight="1">
      <c r="A10" s="150" t="s">
        <v>299</v>
      </c>
      <c r="B10" s="147"/>
      <c r="C10" s="149">
        <f>SUM(C8:C9)</f>
        <v>0</v>
      </c>
      <c r="D10" s="149">
        <f t="shared" ref="D10:G10" si="0">SUM(D8:D9)</f>
        <v>7600000</v>
      </c>
      <c r="E10" s="149">
        <f t="shared" si="0"/>
        <v>-196480</v>
      </c>
      <c r="F10" s="149">
        <f t="shared" si="0"/>
        <v>0</v>
      </c>
      <c r="G10" s="149">
        <f t="shared" si="0"/>
        <v>7403520</v>
      </c>
      <c r="H10" s="83">
        <f>'SOFP  10.18'!E28</f>
        <v>-196480</v>
      </c>
      <c r="I10" s="100">
        <f>G10-H10</f>
        <v>7600000</v>
      </c>
    </row>
    <row r="11" spans="1:9" ht="20" customHeight="1">
      <c r="A11" s="88" t="s">
        <v>300</v>
      </c>
      <c r="B11" s="88"/>
      <c r="C11" s="98">
        <v>0</v>
      </c>
      <c r="D11" s="98">
        <v>0</v>
      </c>
      <c r="E11" s="151">
        <f>'SOI 10.18'!D23</f>
        <v>-177096</v>
      </c>
      <c r="F11" s="98">
        <v>0</v>
      </c>
      <c r="G11" s="152">
        <f>+SUM(C11:F11)</f>
        <v>-177096</v>
      </c>
    </row>
    <row r="12" spans="1:9" ht="20" customHeight="1">
      <c r="A12" s="88" t="s">
        <v>301</v>
      </c>
      <c r="B12" s="88"/>
      <c r="C12" s="151">
        <v>12600000</v>
      </c>
      <c r="D12" s="151">
        <v>-7600000</v>
      </c>
      <c r="E12" s="151">
        <v>0</v>
      </c>
      <c r="F12" s="151">
        <v>0</v>
      </c>
      <c r="G12" s="152">
        <f>+SUM(C12:F12)</f>
        <v>5000000</v>
      </c>
    </row>
    <row r="13" spans="1:9" ht="20" customHeight="1">
      <c r="A13" s="88" t="s">
        <v>302</v>
      </c>
      <c r="B13" s="88"/>
      <c r="C13" s="151">
        <v>0</v>
      </c>
      <c r="D13" s="151">
        <v>0</v>
      </c>
      <c r="E13" s="151">
        <v>0</v>
      </c>
      <c r="F13" s="151">
        <v>0</v>
      </c>
      <c r="G13" s="152">
        <f>+SUM(C13:F13)</f>
        <v>0</v>
      </c>
    </row>
    <row r="14" spans="1:9" ht="20" customHeight="1">
      <c r="A14" s="153" t="s">
        <v>303</v>
      </c>
      <c r="B14" s="153"/>
      <c r="C14" s="151">
        <v>0</v>
      </c>
      <c r="D14" s="151">
        <v>0</v>
      </c>
      <c r="E14" s="151">
        <v>0</v>
      </c>
      <c r="F14" s="151">
        <v>0</v>
      </c>
      <c r="G14" s="152">
        <f>+SUM(C14:F14)</f>
        <v>0</v>
      </c>
    </row>
    <row r="15" spans="1:9" s="86" customFormat="1" ht="20" customHeight="1">
      <c r="A15" s="150" t="s">
        <v>304</v>
      </c>
      <c r="B15" s="150"/>
      <c r="C15" s="149">
        <f>SUM(C10:C14)</f>
        <v>12600000</v>
      </c>
      <c r="D15" s="149">
        <f t="shared" ref="D15:G15" si="1">SUM(D10:D14)</f>
        <v>0</v>
      </c>
      <c r="E15" s="149">
        <f t="shared" si="1"/>
        <v>-373576</v>
      </c>
      <c r="F15" s="149">
        <f t="shared" si="1"/>
        <v>0</v>
      </c>
      <c r="G15" s="149">
        <f t="shared" si="1"/>
        <v>12226424</v>
      </c>
      <c r="H15" s="86">
        <f>'SOFP  10.18'!D28</f>
        <v>12226424</v>
      </c>
      <c r="I15" s="108">
        <f>G15-H15</f>
        <v>0</v>
      </c>
    </row>
    <row r="16" spans="1:9" ht="20" customHeight="1">
      <c r="A16" s="88" t="s">
        <v>300</v>
      </c>
      <c r="C16" s="154">
        <v>0</v>
      </c>
      <c r="D16" s="154">
        <v>0</v>
      </c>
      <c r="E16" s="154">
        <f>+'SOI 10.18'!C23</f>
        <v>-164485.25</v>
      </c>
      <c r="F16" s="154">
        <v>0</v>
      </c>
      <c r="G16" s="154">
        <f>+SUM(C16:F16)</f>
        <v>-164485.25</v>
      </c>
    </row>
    <row r="17" spans="1:9" ht="20" customHeight="1">
      <c r="A17" s="88" t="s">
        <v>301</v>
      </c>
      <c r="C17" s="154">
        <v>0</v>
      </c>
      <c r="D17" s="154">
        <v>0</v>
      </c>
      <c r="E17" s="154">
        <v>0</v>
      </c>
      <c r="F17" s="154">
        <v>0</v>
      </c>
      <c r="G17" s="154">
        <f t="shared" ref="G17:G19" si="2">+SUM(C17:F17)</f>
        <v>0</v>
      </c>
    </row>
    <row r="18" spans="1:9" ht="20" customHeight="1">
      <c r="A18" s="88" t="s">
        <v>302</v>
      </c>
      <c r="C18" s="154">
        <v>0</v>
      </c>
      <c r="D18" s="154">
        <v>0</v>
      </c>
      <c r="E18" s="154">
        <v>0</v>
      </c>
      <c r="F18" s="154">
        <v>0</v>
      </c>
      <c r="G18" s="154">
        <f t="shared" si="2"/>
        <v>0</v>
      </c>
    </row>
    <row r="19" spans="1:9" ht="20" customHeight="1">
      <c r="A19" s="153" t="s">
        <v>303</v>
      </c>
      <c r="B19" s="155"/>
      <c r="C19" s="156">
        <v>0</v>
      </c>
      <c r="D19" s="156">
        <v>0</v>
      </c>
      <c r="E19" s="156">
        <v>0</v>
      </c>
      <c r="F19" s="156">
        <v>0</v>
      </c>
      <c r="G19" s="154">
        <f t="shared" si="2"/>
        <v>0</v>
      </c>
    </row>
    <row r="20" spans="1:9" s="86" customFormat="1" ht="20" customHeight="1">
      <c r="A20" s="150" t="s">
        <v>305</v>
      </c>
      <c r="B20" s="157"/>
      <c r="C20" s="158">
        <f>SUM(C15:C19)</f>
        <v>12600000</v>
      </c>
      <c r="D20" s="158">
        <f>SUM(D15:D19)</f>
        <v>0</v>
      </c>
      <c r="E20" s="158">
        <f>SUM(E15:E19)</f>
        <v>-538061.25</v>
      </c>
      <c r="F20" s="158">
        <f>SUM(F15:F19)</f>
        <v>0</v>
      </c>
      <c r="G20" s="158">
        <f>SUM(G15:G19)</f>
        <v>12061938.75</v>
      </c>
      <c r="H20" s="86">
        <f>'SOFP  10.18'!C28</f>
        <v>32251938.75</v>
      </c>
      <c r="I20" s="108">
        <f>G20-H20</f>
        <v>-20190000</v>
      </c>
    </row>
  </sheetData>
  <mergeCells count="4">
    <mergeCell ref="A1:G1"/>
    <mergeCell ref="A2:G2"/>
    <mergeCell ref="A3:G3"/>
    <mergeCell ref="A4:G4"/>
  </mergeCells>
  <pageMargins left="0.7" right="0.7" top="0.75" bottom="0.75" header="0.3" footer="0.3"/>
  <pageSetup paperSize="9" scale="9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978B1-9D26-43F3-A22D-64CAC64C8D7A}">
  <sheetPr>
    <tabColor rgb="FFFFC000"/>
  </sheetPr>
  <dimension ref="A1:D41"/>
  <sheetViews>
    <sheetView showGridLines="0" view="pageBreakPreview" zoomScaleNormal="130" zoomScaleSheetLayoutView="100" workbookViewId="0">
      <selection activeCell="C37" sqref="C37"/>
    </sheetView>
  </sheetViews>
  <sheetFormatPr defaultColWidth="8.6328125" defaultRowHeight="14"/>
  <cols>
    <col min="1" max="1" width="63.453125" style="83" customWidth="1"/>
    <col min="2" max="2" width="22.453125" style="176" customWidth="1"/>
    <col min="3" max="3" width="19.453125" style="177" customWidth="1"/>
    <col min="4" max="16384" width="8.6328125" style="83"/>
  </cols>
  <sheetData>
    <row r="1" spans="1:4" ht="17.5">
      <c r="A1" s="322" t="str">
        <f>'SOCE 10.18'!A1</f>
        <v>Magic Arun Hydropower Private Limitd</v>
      </c>
      <c r="B1" s="322"/>
      <c r="C1" s="322"/>
    </row>
    <row r="2" spans="1:4" ht="13.5">
      <c r="A2" s="324"/>
      <c r="B2" s="324"/>
      <c r="C2" s="324"/>
    </row>
    <row r="3" spans="1:4">
      <c r="A3" s="323" t="s">
        <v>306</v>
      </c>
      <c r="B3" s="323"/>
      <c r="C3" s="323"/>
    </row>
    <row r="4" spans="1:4">
      <c r="A4" s="323" t="str">
        <f>'SOCE 10.18'!A4</f>
        <v xml:space="preserve">For the Year Ended 18 Magh 2082 </v>
      </c>
      <c r="B4" s="323"/>
      <c r="C4" s="323"/>
    </row>
    <row r="5" spans="1:4" ht="13.5">
      <c r="A5" s="88"/>
      <c r="B5" s="159"/>
      <c r="C5" s="160" t="s">
        <v>276</v>
      </c>
    </row>
    <row r="6" spans="1:4" ht="20" customHeight="1" thickBot="1">
      <c r="A6" s="92" t="s">
        <v>1</v>
      </c>
      <c r="B6" s="161" t="str">
        <f>'SOI 10.18'!C7</f>
        <v>Upto 18 Magh 2082</v>
      </c>
      <c r="C6" s="162" t="str">
        <f>'SOI 10.18'!D7</f>
        <v>FY 2081-82</v>
      </c>
    </row>
    <row r="7" spans="1:4" s="86" customFormat="1" ht="20" customHeight="1">
      <c r="A7" s="95" t="s">
        <v>307</v>
      </c>
      <c r="B7" s="163"/>
      <c r="C7" s="164"/>
    </row>
    <row r="8" spans="1:4" s="86" customFormat="1" ht="20" customHeight="1">
      <c r="A8" s="95" t="s">
        <v>300</v>
      </c>
      <c r="B8" s="165">
        <f>'SOI 10.18'!C19</f>
        <v>-164485.25</v>
      </c>
      <c r="C8" s="166">
        <f>'SOI 10.18'!D19</f>
        <v>-177096</v>
      </c>
      <c r="D8" s="86">
        <f>B8-'SOFP  10.18'!J27</f>
        <v>-164485.25</v>
      </c>
    </row>
    <row r="9" spans="1:4" ht="20" customHeight="1">
      <c r="A9" s="88" t="s">
        <v>308</v>
      </c>
      <c r="B9" s="163"/>
      <c r="C9" s="164"/>
    </row>
    <row r="10" spans="1:4" ht="20" customHeight="1">
      <c r="A10" s="167" t="s">
        <v>309</v>
      </c>
      <c r="B10" s="168">
        <f>'SOI 10.18'!C17</f>
        <v>130585.25</v>
      </c>
      <c r="C10" s="169">
        <f>'SOI 10.18'!D17</f>
        <v>147714</v>
      </c>
    </row>
    <row r="11" spans="1:4" ht="20" customHeight="1">
      <c r="A11" s="167" t="s">
        <v>279</v>
      </c>
      <c r="B11" s="168"/>
      <c r="C11" s="169"/>
    </row>
    <row r="12" spans="1:4" ht="20" customHeight="1">
      <c r="A12" s="167" t="s">
        <v>310</v>
      </c>
      <c r="B12" s="168">
        <f>'SOI 10.18'!C16</f>
        <v>0</v>
      </c>
      <c r="C12" s="169">
        <f>'SOI 10.18'!D16</f>
        <v>0</v>
      </c>
    </row>
    <row r="13" spans="1:4" ht="20" customHeight="1">
      <c r="A13" s="167" t="s">
        <v>311</v>
      </c>
      <c r="B13" s="168"/>
      <c r="C13" s="169"/>
    </row>
    <row r="14" spans="1:4" ht="20" customHeight="1">
      <c r="A14" s="167" t="s">
        <v>312</v>
      </c>
      <c r="B14" s="168"/>
      <c r="C14" s="169"/>
    </row>
    <row r="15" spans="1:4" ht="20" customHeight="1">
      <c r="A15" s="170" t="s">
        <v>313</v>
      </c>
      <c r="B15" s="168"/>
      <c r="C15" s="169"/>
    </row>
    <row r="16" spans="1:4" ht="20" customHeight="1">
      <c r="A16" s="167" t="s">
        <v>314</v>
      </c>
      <c r="B16" s="168">
        <f>'SOFP  10.18'!J17+'SOFP  10.18'!J20</f>
        <v>0</v>
      </c>
      <c r="C16" s="169">
        <f>'SOFP  10.18'!E17-'SOFP  10.18'!D17</f>
        <v>6476737</v>
      </c>
    </row>
    <row r="17" spans="1:3" ht="20" customHeight="1">
      <c r="A17" s="167" t="s">
        <v>315</v>
      </c>
      <c r="B17" s="168">
        <f>'SOFP  10.18'!J18</f>
        <v>0</v>
      </c>
      <c r="C17" s="169">
        <f>'SOFP  10.18'!K18</f>
        <v>0</v>
      </c>
    </row>
    <row r="18" spans="1:3" ht="20" customHeight="1">
      <c r="A18" s="167" t="s">
        <v>316</v>
      </c>
      <c r="B18" s="168">
        <f>'SOFP  10.18'!J37</f>
        <v>0</v>
      </c>
      <c r="C18" s="169">
        <f>'SOFP  10.18'!K37</f>
        <v>0</v>
      </c>
    </row>
    <row r="19" spans="1:3" ht="20" customHeight="1">
      <c r="A19" s="167" t="s">
        <v>317</v>
      </c>
      <c r="B19" s="168"/>
      <c r="C19" s="169">
        <f>'SOFP  10.18'!D31-'SOFP  10.18'!E31</f>
        <v>-3591010</v>
      </c>
    </row>
    <row r="20" spans="1:3" ht="20" customHeight="1">
      <c r="A20" s="167" t="s">
        <v>318</v>
      </c>
      <c r="B20" s="103"/>
      <c r="C20" s="171">
        <v>0</v>
      </c>
    </row>
    <row r="21" spans="1:3" s="86" customFormat="1" ht="20" customHeight="1">
      <c r="A21" s="95" t="s">
        <v>319</v>
      </c>
      <c r="B21" s="149">
        <f>SUM(B8:B20)</f>
        <v>-33900</v>
      </c>
      <c r="C21" s="172">
        <f>SUM(C8:C20)</f>
        <v>2856345</v>
      </c>
    </row>
    <row r="22" spans="1:3" ht="20" customHeight="1">
      <c r="A22" s="167" t="s">
        <v>320</v>
      </c>
      <c r="B22" s="163"/>
      <c r="C22" s="169">
        <v>0</v>
      </c>
    </row>
    <row r="23" spans="1:3" ht="20" customHeight="1">
      <c r="A23" s="167" t="s">
        <v>321</v>
      </c>
      <c r="B23" s="101"/>
      <c r="C23" s="171">
        <v>0</v>
      </c>
    </row>
    <row r="24" spans="1:3" s="86" customFormat="1" ht="20" customHeight="1">
      <c r="A24" s="95" t="s">
        <v>322</v>
      </c>
      <c r="B24" s="149">
        <f>SUM(B21:B23)</f>
        <v>-33900</v>
      </c>
      <c r="C24" s="172">
        <f>SUM(C21:C23)</f>
        <v>2856345</v>
      </c>
    </row>
    <row r="25" spans="1:3" s="86" customFormat="1" ht="20" customHeight="1">
      <c r="A25" s="95" t="s">
        <v>323</v>
      </c>
      <c r="B25" s="163"/>
      <c r="C25" s="164"/>
    </row>
    <row r="26" spans="1:3" ht="20" customHeight="1">
      <c r="A26" s="167" t="s">
        <v>324</v>
      </c>
      <c r="B26" s="168"/>
      <c r="C26" s="169">
        <f>-'3.1 10.18'!I8</f>
        <v>0</v>
      </c>
    </row>
    <row r="27" spans="1:3" ht="20" customHeight="1">
      <c r="A27" s="167" t="s">
        <v>325</v>
      </c>
      <c r="B27" s="168">
        <f>'SOFP  10.18'!J12</f>
        <v>0</v>
      </c>
      <c r="C27" s="169">
        <f>-'SOFP  10.18'!D10+'SOFP  10.18'!E10</f>
        <v>0</v>
      </c>
    </row>
    <row r="28" spans="1:3" ht="20" customHeight="1">
      <c r="A28" s="167" t="s">
        <v>326</v>
      </c>
      <c r="B28" s="101">
        <f>-'3.1 10.18'!I15-'[5]3.2'!E17</f>
        <v>0</v>
      </c>
      <c r="C28" s="171">
        <f>-'3.1 10.18'!I10-'[5]3.2'!E12</f>
        <v>-752188</v>
      </c>
    </row>
    <row r="29" spans="1:3" s="86" customFormat="1" ht="20" customHeight="1">
      <c r="A29" s="95" t="s">
        <v>327</v>
      </c>
      <c r="B29" s="149">
        <f>SUM(B25:B28)</f>
        <v>0</v>
      </c>
      <c r="C29" s="172">
        <f>SUM(C25:C28)</f>
        <v>-752188</v>
      </c>
    </row>
    <row r="30" spans="1:3" s="86" customFormat="1" ht="20" customHeight="1">
      <c r="A30" s="95" t="s">
        <v>328</v>
      </c>
      <c r="B30" s="163"/>
      <c r="C30" s="164"/>
    </row>
    <row r="31" spans="1:3" ht="20" customHeight="1">
      <c r="A31" s="167" t="s">
        <v>329</v>
      </c>
      <c r="B31" s="168"/>
      <c r="C31" s="169">
        <f>'SOFP  10.18'!D25-'SOFP  10.18'!E26</f>
        <v>12600000</v>
      </c>
    </row>
    <row r="32" spans="1:3" ht="20" customHeight="1">
      <c r="A32" s="167" t="s">
        <v>330</v>
      </c>
      <c r="B32" s="168">
        <f>'SOFP  10.18'!J36</f>
        <v>0</v>
      </c>
      <c r="C32" s="169">
        <f>'SOFP  10.18'!K36</f>
        <v>0</v>
      </c>
    </row>
    <row r="33" spans="1:3" ht="20" customHeight="1">
      <c r="A33" s="167" t="s">
        <v>286</v>
      </c>
      <c r="B33" s="168">
        <f>-B12</f>
        <v>0</v>
      </c>
      <c r="C33" s="169">
        <f>-C12</f>
        <v>0</v>
      </c>
    </row>
    <row r="34" spans="1:3" ht="20" customHeight="1">
      <c r="A34" s="167" t="s">
        <v>331</v>
      </c>
      <c r="B34" s="101"/>
      <c r="C34" s="171"/>
    </row>
    <row r="35" spans="1:3" s="86" customFormat="1" ht="20" customHeight="1">
      <c r="A35" s="95" t="s">
        <v>332</v>
      </c>
      <c r="B35" s="149">
        <f>SUM(B31:B34)</f>
        <v>0</v>
      </c>
      <c r="C35" s="172">
        <f>SUM(C31:C34)</f>
        <v>12600000</v>
      </c>
    </row>
    <row r="36" spans="1:3" s="86" customFormat="1" ht="20" customHeight="1">
      <c r="A36" s="95" t="s">
        <v>333</v>
      </c>
      <c r="B36" s="165">
        <f>B24+B29+B35</f>
        <v>-33900</v>
      </c>
      <c r="C36" s="166">
        <f>C24+C29+C35</f>
        <v>14704157</v>
      </c>
    </row>
    <row r="37" spans="1:3" s="86" customFormat="1" ht="20" customHeight="1">
      <c r="A37" s="173" t="s">
        <v>334</v>
      </c>
      <c r="B37" s="165">
        <f>'SOFP  10.18'!D19</f>
        <v>891197</v>
      </c>
      <c r="C37" s="166">
        <f>'SOFP  10.18'!E19</f>
        <v>67329</v>
      </c>
    </row>
    <row r="38" spans="1:3" s="86" customFormat="1" ht="20" customHeight="1">
      <c r="A38" s="167" t="s">
        <v>335</v>
      </c>
      <c r="B38" s="165"/>
      <c r="C38" s="166"/>
    </row>
    <row r="39" spans="1:3" s="86" customFormat="1" ht="20" customHeight="1" thickBot="1">
      <c r="A39" s="95" t="s">
        <v>336</v>
      </c>
      <c r="B39" s="174">
        <f>B36+B37</f>
        <v>857297</v>
      </c>
      <c r="C39" s="175">
        <f>C36+C37</f>
        <v>14771486</v>
      </c>
    </row>
    <row r="40" spans="1:3" ht="14.5" thickTop="1">
      <c r="B40" s="176">
        <f>'3.4 to 3.6 ao 10.18'!C58</f>
        <v>12637.349999999977</v>
      </c>
      <c r="C40" s="177">
        <f>'3.4 to 3.6 ao 10.18'!D58</f>
        <v>891197</v>
      </c>
    </row>
    <row r="41" spans="1:3">
      <c r="B41" s="176">
        <f>B39-B40</f>
        <v>844659.65</v>
      </c>
      <c r="C41" s="177">
        <f>C39-C40</f>
        <v>13880289</v>
      </c>
    </row>
  </sheetData>
  <mergeCells count="4">
    <mergeCell ref="A1:C1"/>
    <mergeCell ref="A2:C2"/>
    <mergeCell ref="A3:C3"/>
    <mergeCell ref="A4:C4"/>
  </mergeCells>
  <pageMargins left="0.7" right="0.7" top="0.75" bottom="0.75" header="0.3" footer="0.3"/>
  <pageSetup paperSize="9" scale="82"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7D5-16FA-468E-B9EF-9064FF7F3A75}">
  <sheetPr>
    <tabColor rgb="FFFF0000"/>
  </sheetPr>
  <dimension ref="A1:I71"/>
  <sheetViews>
    <sheetView showGridLines="0" view="pageBreakPreview" topLeftCell="A50" zoomScale="84" zoomScaleNormal="120" zoomScaleSheetLayoutView="100" workbookViewId="0">
      <selection activeCell="F58" sqref="F58"/>
    </sheetView>
  </sheetViews>
  <sheetFormatPr defaultColWidth="8.6328125" defaultRowHeight="12.5"/>
  <cols>
    <col min="1" max="1" width="5.6328125" style="88" customWidth="1"/>
    <col min="2" max="2" width="33.36328125" style="88" customWidth="1"/>
    <col min="3" max="3" width="17.7265625" style="88" bestFit="1" customWidth="1"/>
    <col min="4" max="4" width="13.6328125" style="88" bestFit="1" customWidth="1"/>
    <col min="5" max="5" width="15.36328125" style="88" customWidth="1"/>
    <col min="6" max="6" width="15.90625" style="88" customWidth="1"/>
    <col min="7" max="8" width="13.6328125" style="88" customWidth="1"/>
    <col min="9" max="9" width="14.6328125" style="88" customWidth="1"/>
    <col min="10" max="16384" width="8.6328125" style="88"/>
  </cols>
  <sheetData>
    <row r="1" spans="1:9" ht="17.5">
      <c r="A1" s="322" t="str">
        <f>'SOFP  10.18'!A1</f>
        <v>Magic Arun Hydropower Private Limitd</v>
      </c>
      <c r="B1" s="322"/>
      <c r="C1" s="322"/>
      <c r="D1" s="322"/>
      <c r="E1" s="322"/>
      <c r="F1" s="322"/>
      <c r="G1" s="322"/>
      <c r="H1" s="322"/>
      <c r="I1" s="322"/>
    </row>
    <row r="2" spans="1:9" ht="14">
      <c r="A2" s="323" t="s">
        <v>337</v>
      </c>
      <c r="B2" s="323"/>
      <c r="C2" s="323"/>
      <c r="D2" s="323"/>
      <c r="E2" s="323"/>
      <c r="F2" s="323"/>
      <c r="G2" s="323"/>
      <c r="H2" s="323"/>
      <c r="I2" s="323"/>
    </row>
    <row r="3" spans="1:9" ht="13" thickBot="1">
      <c r="A3" s="189"/>
      <c r="B3" s="189"/>
      <c r="C3" s="189"/>
      <c r="D3" s="189"/>
      <c r="E3" s="189"/>
      <c r="F3" s="189"/>
      <c r="G3" s="189"/>
      <c r="H3" s="189"/>
      <c r="I3" s="190" t="s">
        <v>276</v>
      </c>
    </row>
    <row r="4" spans="1:9">
      <c r="A4" s="173">
        <v>3.1</v>
      </c>
      <c r="B4" s="95" t="s">
        <v>245</v>
      </c>
    </row>
    <row r="5" spans="1:9" s="191" customFormat="1" ht="25">
      <c r="B5" s="192"/>
      <c r="C5" s="193" t="s">
        <v>151</v>
      </c>
      <c r="D5" s="193" t="s">
        <v>409</v>
      </c>
      <c r="E5" s="193" t="s">
        <v>410</v>
      </c>
      <c r="F5" s="193" t="s">
        <v>152</v>
      </c>
      <c r="G5" s="193" t="s">
        <v>411</v>
      </c>
      <c r="H5" s="193" t="s">
        <v>568</v>
      </c>
      <c r="I5" s="193" t="s">
        <v>109</v>
      </c>
    </row>
    <row r="6" spans="1:9" s="191" customFormat="1">
      <c r="B6" s="194" t="s">
        <v>412</v>
      </c>
      <c r="C6" s="192"/>
      <c r="D6" s="192"/>
      <c r="E6" s="192"/>
      <c r="F6" s="192"/>
      <c r="G6" s="192"/>
      <c r="H6" s="192"/>
      <c r="I6" s="192"/>
    </row>
    <row r="7" spans="1:9" s="191" customFormat="1">
      <c r="B7" s="192"/>
      <c r="C7" s="192"/>
      <c r="D7" s="192"/>
      <c r="E7" s="192"/>
      <c r="F7" s="192"/>
      <c r="G7" s="192"/>
      <c r="H7" s="192"/>
      <c r="I7" s="192"/>
    </row>
    <row r="8" spans="1:9">
      <c r="B8" s="95" t="s">
        <v>297</v>
      </c>
      <c r="C8" s="98">
        <v>0</v>
      </c>
      <c r="D8" s="98">
        <v>0</v>
      </c>
      <c r="E8" s="98">
        <v>0</v>
      </c>
      <c r="F8" s="98">
        <v>0</v>
      </c>
      <c r="G8" s="98">
        <v>0</v>
      </c>
      <c r="H8" s="98"/>
      <c r="I8" s="104">
        <f>SUM(C8:G8)</f>
        <v>0</v>
      </c>
    </row>
    <row r="9" spans="1:9">
      <c r="C9" s="98"/>
      <c r="D9" s="98"/>
      <c r="E9" s="98"/>
      <c r="F9" s="98"/>
      <c r="G9" s="98"/>
      <c r="H9" s="98"/>
      <c r="I9" s="104">
        <f>SUM(C9:G9)</f>
        <v>0</v>
      </c>
    </row>
    <row r="10" spans="1:9">
      <c r="B10" s="88" t="s">
        <v>413</v>
      </c>
      <c r="C10" s="98">
        <v>532188</v>
      </c>
      <c r="D10" s="98">
        <v>0</v>
      </c>
      <c r="E10" s="98">
        <v>0</v>
      </c>
      <c r="F10" s="98">
        <v>220000</v>
      </c>
      <c r="G10" s="98">
        <v>0</v>
      </c>
      <c r="H10" s="98"/>
      <c r="I10" s="104">
        <f>SUM(C10:G10)</f>
        <v>752188</v>
      </c>
    </row>
    <row r="11" spans="1:9">
      <c r="B11" s="88" t="s">
        <v>414</v>
      </c>
      <c r="C11" s="101">
        <v>0</v>
      </c>
      <c r="D11" s="101">
        <v>0</v>
      </c>
      <c r="E11" s="101">
        <v>0</v>
      </c>
      <c r="F11" s="101">
        <v>0</v>
      </c>
      <c r="G11" s="101">
        <v>0</v>
      </c>
      <c r="H11" s="101"/>
      <c r="I11" s="103">
        <f>SUM(C11:G11)</f>
        <v>0</v>
      </c>
    </row>
    <row r="12" spans="1:9">
      <c r="C12" s="98"/>
      <c r="D12" s="98"/>
      <c r="E12" s="98"/>
      <c r="F12" s="98"/>
      <c r="G12" s="98"/>
      <c r="H12" s="98"/>
      <c r="I12" s="104"/>
    </row>
    <row r="13" spans="1:9" ht="13" thickBot="1">
      <c r="B13" s="95" t="s">
        <v>415</v>
      </c>
      <c r="C13" s="195">
        <f>SUM(C8:C11)</f>
        <v>532188</v>
      </c>
      <c r="D13" s="195">
        <f t="shared" ref="D13:I13" si="0">SUM(D8:D11)</f>
        <v>0</v>
      </c>
      <c r="E13" s="195">
        <f t="shared" si="0"/>
        <v>0</v>
      </c>
      <c r="F13" s="195">
        <f t="shared" si="0"/>
        <v>220000</v>
      </c>
      <c r="G13" s="195">
        <f t="shared" si="0"/>
        <v>0</v>
      </c>
      <c r="H13" s="195"/>
      <c r="I13" s="195">
        <f t="shared" si="0"/>
        <v>752188</v>
      </c>
    </row>
    <row r="14" spans="1:9" ht="13" thickTop="1">
      <c r="B14" s="95"/>
      <c r="C14" s="98"/>
      <c r="D14" s="98"/>
      <c r="E14" s="98"/>
      <c r="F14" s="98"/>
      <c r="G14" s="98"/>
      <c r="H14" s="98"/>
      <c r="I14" s="104"/>
    </row>
    <row r="15" spans="1:9">
      <c r="B15" s="88" t="s">
        <v>413</v>
      </c>
      <c r="C15" s="98">
        <v>0</v>
      </c>
      <c r="D15" s="98"/>
      <c r="E15" s="98">
        <v>0</v>
      </c>
      <c r="F15" s="98"/>
      <c r="G15" s="98">
        <v>0</v>
      </c>
      <c r="H15" s="98"/>
      <c r="I15" s="104">
        <f>SUM(C15:G15)</f>
        <v>0</v>
      </c>
    </row>
    <row r="16" spans="1:9">
      <c r="B16" s="88" t="s">
        <v>414</v>
      </c>
      <c r="C16" s="101">
        <v>0</v>
      </c>
      <c r="D16" s="101">
        <v>0</v>
      </c>
      <c r="E16" s="101">
        <v>0</v>
      </c>
      <c r="F16" s="101">
        <v>0</v>
      </c>
      <c r="G16" s="101">
        <v>0</v>
      </c>
      <c r="H16" s="101"/>
      <c r="I16" s="103">
        <f>SUM(C16:G16)</f>
        <v>0</v>
      </c>
    </row>
    <row r="17" spans="2:9">
      <c r="C17" s="98"/>
      <c r="D17" s="98"/>
      <c r="E17" s="98"/>
      <c r="F17" s="98"/>
      <c r="G17" s="98"/>
      <c r="H17" s="98"/>
      <c r="I17" s="104"/>
    </row>
    <row r="18" spans="2:9" ht="13" thickBot="1">
      <c r="B18" s="95" t="s">
        <v>593</v>
      </c>
      <c r="C18" s="195">
        <f>SUM(C13:C16)</f>
        <v>532188</v>
      </c>
      <c r="D18" s="195">
        <f t="shared" ref="D18:H18" si="1">SUM(D13:D16)</f>
        <v>0</v>
      </c>
      <c r="E18" s="195">
        <f t="shared" si="1"/>
        <v>0</v>
      </c>
      <c r="F18" s="195">
        <f t="shared" si="1"/>
        <v>220000</v>
      </c>
      <c r="G18" s="195">
        <f t="shared" si="1"/>
        <v>0</v>
      </c>
      <c r="H18" s="195">
        <f t="shared" si="1"/>
        <v>0</v>
      </c>
      <c r="I18" s="195">
        <f>SUM(C18:G18)</f>
        <v>752188</v>
      </c>
    </row>
    <row r="19" spans="2:9" ht="13" thickTop="1">
      <c r="B19" s="95"/>
      <c r="C19" s="89"/>
      <c r="D19" s="89"/>
      <c r="E19" s="89"/>
      <c r="F19" s="89"/>
      <c r="G19" s="89"/>
      <c r="H19" s="89"/>
      <c r="I19" s="96"/>
    </row>
    <row r="20" spans="2:9">
      <c r="C20" s="89"/>
      <c r="D20" s="89"/>
      <c r="E20" s="89"/>
      <c r="F20" s="89"/>
      <c r="G20" s="89"/>
      <c r="H20" s="89"/>
      <c r="I20" s="96"/>
    </row>
    <row r="21" spans="2:9" s="95" customFormat="1">
      <c r="B21" s="196" t="s">
        <v>416</v>
      </c>
      <c r="C21" s="96"/>
      <c r="D21" s="96"/>
      <c r="E21" s="96"/>
      <c r="F21" s="96"/>
      <c r="G21" s="96"/>
      <c r="H21" s="96"/>
      <c r="I21" s="96"/>
    </row>
    <row r="22" spans="2:9" s="95" customFormat="1">
      <c r="C22" s="96"/>
      <c r="D22" s="96"/>
      <c r="E22" s="96"/>
      <c r="F22" s="96"/>
      <c r="G22" s="96"/>
      <c r="H22" s="96"/>
      <c r="I22" s="96"/>
    </row>
    <row r="23" spans="2:9" s="95" customFormat="1">
      <c r="B23" s="95" t="str">
        <f>B8</f>
        <v>Balance at 1 Shrawan 2081</v>
      </c>
      <c r="C23" s="197">
        <v>0</v>
      </c>
      <c r="D23" s="197">
        <v>0</v>
      </c>
      <c r="E23" s="197">
        <v>0</v>
      </c>
      <c r="F23" s="197">
        <v>0</v>
      </c>
      <c r="G23" s="197">
        <v>0</v>
      </c>
      <c r="H23" s="197"/>
      <c r="I23" s="198">
        <f>SUM(C23:G23)</f>
        <v>0</v>
      </c>
    </row>
    <row r="24" spans="2:9" s="95" customFormat="1">
      <c r="B24" s="88"/>
      <c r="C24" s="89"/>
      <c r="D24" s="89"/>
      <c r="E24" s="89"/>
      <c r="F24" s="89"/>
      <c r="G24" s="89"/>
      <c r="H24" s="89"/>
      <c r="I24" s="96"/>
    </row>
    <row r="25" spans="2:9" s="95" customFormat="1">
      <c r="B25" s="88" t="s">
        <v>417</v>
      </c>
      <c r="C25" s="98">
        <v>133047</v>
      </c>
      <c r="D25" s="98">
        <v>0</v>
      </c>
      <c r="E25" s="98">
        <v>0</v>
      </c>
      <c r="F25" s="98">
        <v>14667</v>
      </c>
      <c r="G25" s="98">
        <v>0</v>
      </c>
      <c r="H25" s="98">
        <v>0</v>
      </c>
      <c r="I25" s="199">
        <f>SUM(C25:H25)</f>
        <v>147714</v>
      </c>
    </row>
    <row r="26" spans="2:9" s="95" customFormat="1">
      <c r="B26" s="88" t="s">
        <v>414</v>
      </c>
      <c r="C26" s="200"/>
      <c r="D26" s="200"/>
      <c r="E26" s="200"/>
      <c r="F26" s="200"/>
      <c r="G26" s="200"/>
      <c r="H26" s="200"/>
      <c r="I26" s="201"/>
    </row>
    <row r="27" spans="2:9" s="95" customFormat="1">
      <c r="B27" s="88"/>
      <c r="C27" s="89"/>
      <c r="D27" s="89"/>
      <c r="E27" s="89"/>
      <c r="F27" s="89"/>
      <c r="G27" s="89"/>
      <c r="H27" s="89"/>
      <c r="I27" s="96"/>
    </row>
    <row r="28" spans="2:9" s="95" customFormat="1" ht="13" thickBot="1">
      <c r="B28" s="95" t="str">
        <f>B13</f>
        <v>Balance at 32 Ashadh 2082</v>
      </c>
      <c r="C28" s="202">
        <f>SUM(C23:C26)</f>
        <v>133047</v>
      </c>
      <c r="D28" s="202">
        <f t="shared" ref="D28:I28" si="2">SUM(D23:D26)</f>
        <v>0</v>
      </c>
      <c r="E28" s="202">
        <f t="shared" si="2"/>
        <v>0</v>
      </c>
      <c r="F28" s="202">
        <f t="shared" si="2"/>
        <v>14667</v>
      </c>
      <c r="G28" s="202">
        <f t="shared" si="2"/>
        <v>0</v>
      </c>
      <c r="H28" s="202">
        <f t="shared" si="2"/>
        <v>0</v>
      </c>
      <c r="I28" s="202">
        <f t="shared" si="2"/>
        <v>147714</v>
      </c>
    </row>
    <row r="29" spans="2:9" s="95" customFormat="1" ht="13" thickTop="1">
      <c r="C29" s="89"/>
      <c r="D29" s="89"/>
      <c r="E29" s="89"/>
      <c r="F29" s="89"/>
      <c r="G29" s="89"/>
      <c r="H29" s="89"/>
      <c r="I29" s="96"/>
    </row>
    <row r="30" spans="2:9" s="95" customFormat="1">
      <c r="B30" s="88" t="s">
        <v>417</v>
      </c>
      <c r="C30" s="98">
        <f>(C13-C25)*25%</f>
        <v>99785.25</v>
      </c>
      <c r="D30" s="98"/>
      <c r="E30" s="98">
        <v>0</v>
      </c>
      <c r="F30" s="307">
        <v>30800</v>
      </c>
      <c r="G30" s="98">
        <v>0</v>
      </c>
      <c r="H30" s="307">
        <f>(H18-H28)*15%</f>
        <v>0</v>
      </c>
      <c r="I30" s="199">
        <f>SUM(C30:G30)</f>
        <v>130585.25</v>
      </c>
    </row>
    <row r="31" spans="2:9" s="95" customFormat="1">
      <c r="B31" s="88" t="s">
        <v>414</v>
      </c>
      <c r="C31" s="200"/>
      <c r="D31" s="200"/>
      <c r="E31" s="200"/>
      <c r="F31" s="200"/>
      <c r="G31" s="200"/>
      <c r="H31" s="200"/>
      <c r="I31" s="201"/>
    </row>
    <row r="32" spans="2:9" s="95" customFormat="1">
      <c r="B32" s="88"/>
      <c r="C32" s="89"/>
      <c r="D32" s="89"/>
      <c r="E32" s="89"/>
      <c r="F32" s="89"/>
      <c r="G32" s="89"/>
      <c r="H32" s="89"/>
      <c r="I32" s="96"/>
    </row>
    <row r="33" spans="2:9" s="95" customFormat="1" ht="13" thickBot="1">
      <c r="B33" s="95" t="str">
        <f>B18</f>
        <v>Balance at 18 Magh 2082</v>
      </c>
      <c r="C33" s="202">
        <f>C30+C28</f>
        <v>232832.25</v>
      </c>
      <c r="D33" s="202">
        <f>SUM(D28:D31)</f>
        <v>0</v>
      </c>
      <c r="E33" s="202">
        <f>SUM(E28:E31)</f>
        <v>0</v>
      </c>
      <c r="F33" s="202">
        <f>F30+F28</f>
        <v>45467</v>
      </c>
      <c r="G33" s="202">
        <f>SUM(G28:G31)</f>
        <v>0</v>
      </c>
      <c r="H33" s="202">
        <f>SUM(H28:H31)</f>
        <v>0</v>
      </c>
      <c r="I33" s="202">
        <f>SUM(C33:G33)</f>
        <v>278299.25</v>
      </c>
    </row>
    <row r="34" spans="2:9" s="95" customFormat="1" ht="13" thickTop="1">
      <c r="C34" s="114"/>
      <c r="D34" s="114"/>
      <c r="E34" s="114"/>
      <c r="F34" s="114"/>
      <c r="G34" s="114"/>
      <c r="H34" s="114"/>
      <c r="I34" s="114"/>
    </row>
    <row r="35" spans="2:9" s="95" customFormat="1">
      <c r="C35" s="114"/>
      <c r="D35" s="114"/>
      <c r="E35" s="114"/>
      <c r="F35" s="114"/>
      <c r="G35" s="114"/>
      <c r="H35" s="114"/>
      <c r="I35" s="114"/>
    </row>
    <row r="36" spans="2:9" s="95" customFormat="1">
      <c r="C36" s="114"/>
      <c r="D36" s="114"/>
      <c r="E36" s="114"/>
      <c r="F36" s="114"/>
      <c r="G36" s="114"/>
      <c r="H36" s="114"/>
      <c r="I36" s="114"/>
    </row>
    <row r="37" spans="2:9" s="95" customFormat="1">
      <c r="C37" s="96"/>
      <c r="D37" s="96"/>
      <c r="E37" s="96"/>
      <c r="F37" s="96"/>
      <c r="G37" s="96"/>
      <c r="H37" s="96"/>
      <c r="I37" s="96"/>
    </row>
    <row r="38" spans="2:9" s="95" customFormat="1">
      <c r="B38" s="203" t="s">
        <v>418</v>
      </c>
      <c r="C38" s="96"/>
      <c r="D38" s="96"/>
      <c r="E38" s="96"/>
      <c r="F38" s="96"/>
      <c r="G38" s="96"/>
      <c r="H38" s="96"/>
      <c r="I38" s="96"/>
    </row>
    <row r="39" spans="2:9" s="95" customFormat="1" hidden="1">
      <c r="C39" s="96"/>
      <c r="D39" s="96"/>
      <c r="E39" s="96"/>
      <c r="F39" s="96"/>
      <c r="G39" s="96"/>
      <c r="H39" s="96"/>
      <c r="I39" s="96"/>
    </row>
    <row r="40" spans="2:9" s="95" customFormat="1" ht="13" hidden="1" thickBot="1">
      <c r="B40" s="204" t="s">
        <v>419</v>
      </c>
      <c r="C40" s="202">
        <f t="shared" ref="C40:I40" si="3">C8-C23</f>
        <v>0</v>
      </c>
      <c r="D40" s="202">
        <f t="shared" si="3"/>
        <v>0</v>
      </c>
      <c r="E40" s="202">
        <f t="shared" si="3"/>
        <v>0</v>
      </c>
      <c r="F40" s="202">
        <f t="shared" si="3"/>
        <v>0</v>
      </c>
      <c r="G40" s="202">
        <f t="shared" si="3"/>
        <v>0</v>
      </c>
      <c r="H40" s="202">
        <f t="shared" si="3"/>
        <v>0</v>
      </c>
      <c r="I40" s="202">
        <f t="shared" si="3"/>
        <v>0</v>
      </c>
    </row>
    <row r="41" spans="2:9" s="95" customFormat="1">
      <c r="B41" s="204"/>
      <c r="C41" s="96"/>
      <c r="D41" s="96"/>
      <c r="E41" s="96"/>
      <c r="F41" s="96"/>
      <c r="G41" s="96"/>
      <c r="H41" s="96"/>
      <c r="I41" s="96"/>
    </row>
    <row r="42" spans="2:9" s="95" customFormat="1" ht="13" thickBot="1">
      <c r="B42" s="204" t="s">
        <v>420</v>
      </c>
      <c r="C42" s="202">
        <f>C13-C28</f>
        <v>399141</v>
      </c>
      <c r="D42" s="202">
        <f t="shared" ref="D42:H42" si="4">D13-D28</f>
        <v>0</v>
      </c>
      <c r="E42" s="202">
        <f t="shared" si="4"/>
        <v>0</v>
      </c>
      <c r="F42" s="202">
        <f t="shared" si="4"/>
        <v>205333</v>
      </c>
      <c r="G42" s="202">
        <f t="shared" si="4"/>
        <v>0</v>
      </c>
      <c r="H42" s="202">
        <f t="shared" si="4"/>
        <v>0</v>
      </c>
      <c r="I42" s="205">
        <f>SUM(C42:G42)</f>
        <v>604474</v>
      </c>
    </row>
    <row r="43" spans="2:9" s="95" customFormat="1" ht="13" thickTop="1">
      <c r="B43" s="204"/>
      <c r="C43" s="96"/>
      <c r="D43" s="96"/>
      <c r="E43" s="96"/>
      <c r="F43" s="96"/>
      <c r="G43" s="96"/>
      <c r="H43" s="96"/>
      <c r="I43" s="96"/>
    </row>
    <row r="44" spans="2:9" ht="13" thickBot="1">
      <c r="B44" s="206" t="s">
        <v>594</v>
      </c>
      <c r="C44" s="205">
        <f t="shared" ref="C44:H44" si="5">C18-C33</f>
        <v>299355.75</v>
      </c>
      <c r="D44" s="205">
        <f t="shared" si="5"/>
        <v>0</v>
      </c>
      <c r="E44" s="205">
        <f t="shared" si="5"/>
        <v>0</v>
      </c>
      <c r="F44" s="205">
        <f t="shared" si="5"/>
        <v>174533</v>
      </c>
      <c r="G44" s="205">
        <f t="shared" si="5"/>
        <v>0</v>
      </c>
      <c r="H44" s="205">
        <f t="shared" si="5"/>
        <v>0</v>
      </c>
      <c r="I44" s="205">
        <f>SUM(C44:G44)</f>
        <v>473888.75</v>
      </c>
    </row>
    <row r="45" spans="2:9" ht="13" thickTop="1">
      <c r="B45" s="206"/>
    </row>
    <row r="46" spans="2:9">
      <c r="B46" s="206"/>
    </row>
    <row r="47" spans="2:9">
      <c r="B47" s="206"/>
    </row>
    <row r="48" spans="2:9">
      <c r="B48" s="95" t="s">
        <v>421</v>
      </c>
    </row>
    <row r="49" spans="2:9" ht="28" customHeight="1" thickBot="1">
      <c r="B49" s="207" t="s">
        <v>1</v>
      </c>
      <c r="C49" s="325" t="s">
        <v>574</v>
      </c>
      <c r="D49" s="325"/>
      <c r="E49" s="325" t="s">
        <v>423</v>
      </c>
      <c r="F49" s="325"/>
      <c r="G49" s="325">
        <v>2080.0810000000001</v>
      </c>
      <c r="H49" s="325"/>
      <c r="I49" s="325"/>
    </row>
    <row r="50" spans="2:9" ht="13" thickTop="1">
      <c r="B50" s="88" t="s">
        <v>422</v>
      </c>
      <c r="C50" s="326">
        <f>C70</f>
        <v>15814476.15</v>
      </c>
      <c r="D50" s="326"/>
      <c r="E50" s="326">
        <f>D70</f>
        <v>2828835</v>
      </c>
      <c r="F50" s="326"/>
      <c r="G50" s="326">
        <f>F70</f>
        <v>12985641.15</v>
      </c>
      <c r="H50" s="326"/>
      <c r="I50" s="326"/>
    </row>
    <row r="51" spans="2:9">
      <c r="B51" s="173"/>
      <c r="C51" s="173"/>
      <c r="D51" s="173"/>
      <c r="E51" s="173"/>
    </row>
    <row r="52" spans="2:9" ht="25.5" thickBot="1">
      <c r="B52" s="209"/>
      <c r="C52" s="208" t="s">
        <v>574</v>
      </c>
      <c r="D52" s="325" t="s">
        <v>423</v>
      </c>
      <c r="E52" s="325"/>
      <c r="F52" s="208" t="s">
        <v>424</v>
      </c>
      <c r="G52" s="209"/>
      <c r="H52" s="209"/>
      <c r="I52" s="209"/>
    </row>
    <row r="53" spans="2:9" ht="15" thickTop="1">
      <c r="B53" s="44" t="s">
        <v>155</v>
      </c>
      <c r="C53" s="210">
        <f>F53+D53</f>
        <v>8000000</v>
      </c>
      <c r="D53" s="211">
        <f>'TB update upto 10.18'!E59</f>
        <v>0</v>
      </c>
      <c r="F53" s="48">
        <f>'TB update upto 10.18'!C59</f>
        <v>8000000</v>
      </c>
      <c r="G53" s="211"/>
    </row>
    <row r="54" spans="2:9" ht="14.5">
      <c r="B54" s="41" t="s">
        <v>63</v>
      </c>
      <c r="C54" s="210">
        <f>F54+D54</f>
        <v>2000000</v>
      </c>
      <c r="D54" s="211">
        <f>'TB update upto 10.18'!E60</f>
        <v>2000000</v>
      </c>
      <c r="F54" s="48">
        <f>'TB update upto 10.18'!C60</f>
        <v>0</v>
      </c>
      <c r="G54" s="211"/>
    </row>
    <row r="55" spans="2:9" ht="14.5">
      <c r="B55" s="44" t="s">
        <v>156</v>
      </c>
      <c r="C55" s="210">
        <f>F55+D55</f>
        <v>300000</v>
      </c>
      <c r="D55" s="211">
        <f>'TB update upto 10.18'!E61</f>
        <v>0</v>
      </c>
      <c r="F55" s="48">
        <f>'TB update upto 10.18'!C61</f>
        <v>300000</v>
      </c>
      <c r="G55" s="211"/>
    </row>
    <row r="56" spans="2:9" ht="14.5">
      <c r="B56" s="44" t="s">
        <v>157</v>
      </c>
      <c r="C56" s="210">
        <f>F56+D56</f>
        <v>102000</v>
      </c>
      <c r="D56" s="211">
        <f>'TB update upto 10.18'!E62</f>
        <v>0</v>
      </c>
      <c r="F56" s="48">
        <f>'TB update upto 10.18'!C62</f>
        <v>102000</v>
      </c>
      <c r="G56" s="211"/>
    </row>
    <row r="57" spans="2:9" ht="14.5">
      <c r="B57" s="44" t="s">
        <v>158</v>
      </c>
      <c r="C57" s="210">
        <f t="shared" ref="C57:C69" si="6">F57+D57</f>
        <v>274657.15000000002</v>
      </c>
      <c r="D57" s="211">
        <f>'TB update upto 10.18'!E63</f>
        <v>0</v>
      </c>
      <c r="F57" s="48">
        <f>'TB update upto 10.18'!C63</f>
        <v>274657.15000000002</v>
      </c>
      <c r="G57" s="211"/>
    </row>
    <row r="58" spans="2:9" ht="14.5">
      <c r="B58" s="44" t="s">
        <v>159</v>
      </c>
      <c r="C58" s="210">
        <f t="shared" si="6"/>
        <v>197000</v>
      </c>
      <c r="D58" s="211">
        <f>'TB update upto 10.18'!E64</f>
        <v>0</v>
      </c>
      <c r="F58" s="48">
        <f>'TB update upto 10.18'!C64</f>
        <v>197000</v>
      </c>
      <c r="G58" s="211"/>
    </row>
    <row r="59" spans="2:9" ht="14.5">
      <c r="B59" s="44" t="s">
        <v>160</v>
      </c>
      <c r="C59" s="210">
        <f t="shared" si="6"/>
        <v>2990000</v>
      </c>
      <c r="D59" s="211">
        <f>'TB update upto 10.18'!E65</f>
        <v>415000</v>
      </c>
      <c r="F59" s="48">
        <f>'TB update upto 10.18'!C65</f>
        <v>2575000</v>
      </c>
      <c r="G59" s="211"/>
    </row>
    <row r="60" spans="2:9" ht="14.5">
      <c r="B60" s="44" t="s">
        <v>161</v>
      </c>
      <c r="C60" s="210">
        <f t="shared" si="6"/>
        <v>808129</v>
      </c>
      <c r="D60" s="211">
        <f>'TB update upto 10.18'!E66</f>
        <v>343785</v>
      </c>
      <c r="F60" s="48">
        <f>'TB update upto 10.18'!C66</f>
        <v>464344</v>
      </c>
      <c r="G60" s="211"/>
    </row>
    <row r="61" spans="2:9" ht="14.5">
      <c r="B61" s="44" t="s">
        <v>162</v>
      </c>
      <c r="C61" s="210">
        <f t="shared" si="6"/>
        <v>660000</v>
      </c>
      <c r="D61" s="211">
        <f>'TB update upto 10.18'!E67</f>
        <v>0</v>
      </c>
      <c r="F61" s="48">
        <f>'TB update upto 10.18'!C67</f>
        <v>660000</v>
      </c>
      <c r="G61" s="211"/>
    </row>
    <row r="62" spans="2:9" ht="14.5">
      <c r="B62" s="44" t="s">
        <v>163</v>
      </c>
      <c r="C62" s="210">
        <f t="shared" si="6"/>
        <v>240000</v>
      </c>
      <c r="D62" s="211">
        <f>'TB update upto 10.18'!E68</f>
        <v>0</v>
      </c>
      <c r="F62" s="48">
        <f>'TB update upto 10.18'!C68</f>
        <v>240000</v>
      </c>
      <c r="G62" s="211"/>
    </row>
    <row r="63" spans="2:9" ht="14.5">
      <c r="B63" s="44" t="s">
        <v>164</v>
      </c>
      <c r="C63" s="210">
        <f t="shared" si="6"/>
        <v>37700</v>
      </c>
      <c r="D63" s="211">
        <f>'TB update upto 10.18'!E69</f>
        <v>0</v>
      </c>
      <c r="F63" s="48">
        <f>'TB update upto 10.18'!C69</f>
        <v>37700</v>
      </c>
      <c r="G63" s="211"/>
    </row>
    <row r="64" spans="2:9" ht="14.5">
      <c r="B64" s="44" t="s">
        <v>165</v>
      </c>
      <c r="C64" s="210">
        <f t="shared" si="6"/>
        <v>49315</v>
      </c>
      <c r="D64" s="211">
        <f>'TB update upto 10.18'!E70</f>
        <v>6965</v>
      </c>
      <c r="F64" s="48">
        <f>'TB update upto 10.18'!C70</f>
        <v>42350</v>
      </c>
      <c r="G64" s="211"/>
    </row>
    <row r="65" spans="2:7" ht="14.5">
      <c r="B65" s="44" t="s">
        <v>166</v>
      </c>
      <c r="C65" s="210">
        <f t="shared" si="6"/>
        <v>21945</v>
      </c>
      <c r="D65" s="211">
        <f>'TB update upto 10.18'!E71</f>
        <v>14585</v>
      </c>
      <c r="F65" s="48">
        <f>'TB update upto 10.18'!C71</f>
        <v>7360</v>
      </c>
      <c r="G65" s="211"/>
    </row>
    <row r="66" spans="2:7" ht="14.5">
      <c r="B66" s="44" t="s">
        <v>167</v>
      </c>
      <c r="C66" s="210">
        <f t="shared" si="6"/>
        <v>85230</v>
      </c>
      <c r="D66" s="211">
        <f>'TB update upto 10.18'!E72</f>
        <v>0</v>
      </c>
      <c r="F66" s="48">
        <f>'TB update upto 10.18'!C72</f>
        <v>85230</v>
      </c>
      <c r="G66" s="211"/>
    </row>
    <row r="67" spans="2:7" ht="14.5">
      <c r="B67" s="44" t="s">
        <v>49</v>
      </c>
      <c r="C67" s="210">
        <f t="shared" si="6"/>
        <v>48500</v>
      </c>
      <c r="D67" s="211">
        <f>'TB update upto 10.18'!E73</f>
        <v>48500</v>
      </c>
      <c r="F67" s="48">
        <f>'TB update upto 10.18'!C73</f>
        <v>0</v>
      </c>
      <c r="G67" s="211"/>
    </row>
    <row r="68" spans="2:7" ht="14.5">
      <c r="B68" s="41" t="s">
        <v>91</v>
      </c>
      <c r="C68" s="210">
        <f t="shared" si="6"/>
        <v>0</v>
      </c>
      <c r="D68" s="211">
        <f>'TB update upto 10.18'!E74</f>
        <v>0</v>
      </c>
      <c r="F68" s="48">
        <f>'TB update upto 10.18'!C74</f>
        <v>0</v>
      </c>
      <c r="G68" s="211"/>
    </row>
    <row r="69" spans="2:7" ht="14.5">
      <c r="B69" s="41" t="s">
        <v>105</v>
      </c>
      <c r="C69" s="210">
        <f t="shared" si="6"/>
        <v>0</v>
      </c>
      <c r="D69" s="211">
        <f>'TB update upto 10.18'!E75</f>
        <v>0</v>
      </c>
      <c r="F69" s="48">
        <f>'TB update upto 10.18'!C75</f>
        <v>0</v>
      </c>
      <c r="G69" s="211"/>
    </row>
    <row r="70" spans="2:7" ht="13" thickBot="1">
      <c r="C70" s="212">
        <f>SUM(C53:C69)</f>
        <v>15814476.15</v>
      </c>
      <c r="D70" s="212">
        <f>SUM(D53:D69)</f>
        <v>2828835</v>
      </c>
      <c r="E70" s="212"/>
      <c r="F70" s="212">
        <f>SUM(F53:F69)</f>
        <v>12985641.15</v>
      </c>
    </row>
    <row r="71" spans="2:7" ht="13" thickTop="1"/>
  </sheetData>
  <mergeCells count="9">
    <mergeCell ref="D52:E52"/>
    <mergeCell ref="A1:I1"/>
    <mergeCell ref="A2:I2"/>
    <mergeCell ref="C49:D49"/>
    <mergeCell ref="E49:F49"/>
    <mergeCell ref="G49:I49"/>
    <mergeCell ref="C50:D50"/>
    <mergeCell ref="E50:F50"/>
    <mergeCell ref="G50:I50"/>
  </mergeCells>
  <pageMargins left="0.7" right="0.7" top="0.75" bottom="0.75" header="0.3" footer="0.3"/>
  <pageSetup paperSize="9" scale="64"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71350-3247-4888-BE4B-2EEBE39E3D5C}">
  <sheetPr>
    <tabColor rgb="FFFF0000"/>
  </sheetPr>
  <dimension ref="A1:E69"/>
  <sheetViews>
    <sheetView showGridLines="0" view="pageBreakPreview" topLeftCell="A52" zoomScaleNormal="100" zoomScaleSheetLayoutView="110" workbookViewId="0">
      <selection activeCell="H28" sqref="H28"/>
    </sheetView>
  </sheetViews>
  <sheetFormatPr defaultColWidth="9.1796875" defaultRowHeight="13.5"/>
  <cols>
    <col min="1" max="1" width="4.453125" style="180" customWidth="1"/>
    <col min="2" max="2" width="46.36328125" style="180" customWidth="1"/>
    <col min="3" max="3" width="16" style="180" customWidth="1"/>
    <col min="4" max="4" width="16.453125" style="180" customWidth="1"/>
    <col min="5" max="5" width="16.1796875" style="180" hidden="1" customWidth="1"/>
    <col min="6" max="16384" width="9.1796875" style="180"/>
  </cols>
  <sheetData>
    <row r="1" spans="1:5" ht="17.5">
      <c r="A1" s="327" t="str">
        <f>'SOFP  10.18'!A1</f>
        <v>Magic Arun Hydropower Private Limitd</v>
      </c>
      <c r="B1" s="327"/>
      <c r="C1" s="327"/>
      <c r="D1" s="327"/>
      <c r="E1" s="327"/>
    </row>
    <row r="2" spans="1:5" ht="19" customHeight="1">
      <c r="A2" s="328" t="s">
        <v>337</v>
      </c>
      <c r="B2" s="328"/>
      <c r="C2" s="328"/>
      <c r="D2" s="328"/>
      <c r="E2" s="181"/>
    </row>
    <row r="3" spans="1:5" ht="19" customHeight="1">
      <c r="A3" s="213"/>
      <c r="B3" s="214"/>
      <c r="C3" s="217"/>
      <c r="D3" s="215"/>
      <c r="E3" s="215"/>
    </row>
    <row r="4" spans="1:5" ht="19" customHeight="1" thickBot="1">
      <c r="A4" s="218"/>
      <c r="B4" s="219"/>
      <c r="C4" s="219"/>
      <c r="D4" s="182" t="s">
        <v>276</v>
      </c>
    </row>
    <row r="5" spans="1:5" ht="19" customHeight="1">
      <c r="A5" s="220"/>
      <c r="B5" s="204"/>
      <c r="C5" s="204"/>
      <c r="D5" s="204"/>
      <c r="E5" s="221"/>
    </row>
    <row r="6" spans="1:5" ht="19" customHeight="1">
      <c r="A6" s="173">
        <v>3.4</v>
      </c>
      <c r="B6" s="95" t="s">
        <v>169</v>
      </c>
      <c r="C6" s="222" t="str">
        <f>'[5]3.3'!C29</f>
        <v xml:space="preserve">As at </v>
      </c>
      <c r="D6" s="222" t="str">
        <f>'[5]3.3'!D29</f>
        <v xml:space="preserve">As at </v>
      </c>
      <c r="E6" s="222" t="str">
        <f>'[5]3.3'!E29</f>
        <v xml:space="preserve">As at </v>
      </c>
    </row>
    <row r="7" spans="1:5" ht="19" customHeight="1" thickBot="1">
      <c r="A7" s="95"/>
      <c r="B7" s="95"/>
      <c r="C7" s="120" t="s">
        <v>585</v>
      </c>
      <c r="D7" s="120" t="str">
        <f>'[5]3.3'!D30</f>
        <v>32 Ashadh 2082</v>
      </c>
      <c r="E7" s="120" t="str">
        <f>'[5]3.3'!E30</f>
        <v>1 Shrawan 2081</v>
      </c>
    </row>
    <row r="8" spans="1:5" ht="19" customHeight="1">
      <c r="A8" s="95"/>
      <c r="B8" s="95"/>
      <c r="C8" s="223"/>
      <c r="D8" s="223"/>
      <c r="E8" s="223"/>
    </row>
    <row r="9" spans="1:5" ht="19" customHeight="1">
      <c r="A9" s="95"/>
      <c r="B9" s="196" t="s">
        <v>169</v>
      </c>
      <c r="C9" s="223"/>
      <c r="D9" s="223"/>
      <c r="E9" s="223"/>
    </row>
    <row r="10" spans="1:5" ht="19" customHeight="1">
      <c r="A10" s="88"/>
      <c r="B10" s="88" t="s">
        <v>425</v>
      </c>
      <c r="C10" s="224">
        <v>0</v>
      </c>
      <c r="D10" s="224">
        <v>0</v>
      </c>
      <c r="E10" s="224">
        <v>1000000</v>
      </c>
    </row>
    <row r="11" spans="1:5" ht="19" customHeight="1">
      <c r="A11" s="88"/>
      <c r="B11" s="225" t="s">
        <v>426</v>
      </c>
      <c r="C11" s="224">
        <v>0</v>
      </c>
      <c r="D11" s="224">
        <v>0</v>
      </c>
      <c r="E11" s="224">
        <v>20300000</v>
      </c>
    </row>
    <row r="12" spans="1:5" ht="19" customHeight="1">
      <c r="A12" s="88"/>
      <c r="B12" s="88" t="s">
        <v>427</v>
      </c>
      <c r="C12" s="224">
        <v>0</v>
      </c>
      <c r="D12" s="224">
        <v>0</v>
      </c>
      <c r="E12" s="224">
        <v>488699</v>
      </c>
    </row>
    <row r="13" spans="1:5" ht="19" customHeight="1">
      <c r="A13" s="88"/>
      <c r="B13" s="196" t="s">
        <v>249</v>
      </c>
      <c r="C13" s="224"/>
      <c r="D13" s="224"/>
      <c r="E13" s="224"/>
    </row>
    <row r="14" spans="1:5" ht="19" customHeight="1">
      <c r="A14" s="95"/>
      <c r="B14" s="226" t="s">
        <v>428</v>
      </c>
      <c r="C14" s="310">
        <f>'TB update upto 10.18'!G78</f>
        <v>5000000</v>
      </c>
      <c r="D14" s="224">
        <v>4000000</v>
      </c>
      <c r="E14" s="224"/>
    </row>
    <row r="15" spans="1:5" ht="19" customHeight="1">
      <c r="A15" s="95"/>
      <c r="B15" s="226" t="s">
        <v>429</v>
      </c>
      <c r="C15" s="224">
        <v>0</v>
      </c>
      <c r="D15" s="224">
        <v>3000000</v>
      </c>
      <c r="E15" s="224"/>
    </row>
    <row r="16" spans="1:5" ht="19" customHeight="1">
      <c r="A16" s="95"/>
      <c r="B16" s="226" t="s">
        <v>430</v>
      </c>
      <c r="C16" s="307">
        <f>'TB update upto 10.18'!G94</f>
        <v>250000</v>
      </c>
      <c r="D16" s="224">
        <v>250000</v>
      </c>
      <c r="E16" s="224"/>
    </row>
    <row r="17" spans="1:5" ht="19" customHeight="1">
      <c r="A17" s="95"/>
      <c r="B17" s="226" t="s">
        <v>431</v>
      </c>
      <c r="C17" s="307">
        <f>'TB update upto 10.18'!G80</f>
        <v>5563462</v>
      </c>
      <c r="D17" s="224">
        <v>5563462</v>
      </c>
      <c r="E17" s="224"/>
    </row>
    <row r="18" spans="1:5" ht="19" customHeight="1">
      <c r="A18" s="95"/>
      <c r="B18" s="226" t="s">
        <v>432</v>
      </c>
      <c r="C18" s="307">
        <f>'TB update upto 10.18'!G93</f>
        <v>2900000</v>
      </c>
      <c r="D18" s="224">
        <v>2200000</v>
      </c>
      <c r="E18" s="98">
        <v>0</v>
      </c>
    </row>
    <row r="19" spans="1:5" ht="19" customHeight="1">
      <c r="A19" s="95"/>
      <c r="B19" s="226" t="s">
        <v>433</v>
      </c>
      <c r="C19" s="307">
        <f>'TB update upto 10.18'!G84</f>
        <v>260000</v>
      </c>
      <c r="D19" s="224"/>
      <c r="E19" s="98"/>
    </row>
    <row r="20" spans="1:5" ht="19" customHeight="1">
      <c r="A20" s="95"/>
      <c r="B20" s="226" t="s">
        <v>575</v>
      </c>
      <c r="C20" s="307">
        <f>'TB update upto 10.18'!G96</f>
        <v>75000</v>
      </c>
      <c r="D20" s="224"/>
      <c r="E20" s="98"/>
    </row>
    <row r="21" spans="1:5" ht="19" customHeight="1">
      <c r="A21" s="95"/>
      <c r="B21" s="226" t="s">
        <v>249</v>
      </c>
      <c r="C21" s="307">
        <f>'TB update upto 10.18'!G95+'TB update upto 10.18'!G45</f>
        <v>133525</v>
      </c>
      <c r="D21" s="224"/>
      <c r="E21" s="98"/>
    </row>
    <row r="22" spans="1:5" ht="19" customHeight="1">
      <c r="A22" s="95"/>
      <c r="B22" s="226" t="s">
        <v>576</v>
      </c>
      <c r="C22" s="307">
        <f>'TB update upto 10.18'!G92</f>
        <v>529624.5</v>
      </c>
      <c r="D22" s="224"/>
      <c r="E22" s="98"/>
    </row>
    <row r="23" spans="1:5" ht="19" customHeight="1">
      <c r="A23" s="95"/>
      <c r="B23" s="226" t="s">
        <v>577</v>
      </c>
      <c r="C23" s="307">
        <f>'TB update upto 10.18'!G50</f>
        <v>5000000</v>
      </c>
      <c r="D23" s="224"/>
      <c r="E23" s="98"/>
    </row>
    <row r="24" spans="1:5" ht="19" customHeight="1">
      <c r="A24" s="95"/>
      <c r="B24" s="226" t="s">
        <v>578</v>
      </c>
      <c r="C24" s="307">
        <f>'TB update upto 10.18'!G79</f>
        <v>500000</v>
      </c>
      <c r="D24" s="224"/>
      <c r="E24" s="98"/>
    </row>
    <row r="25" spans="1:5" ht="19" customHeight="1">
      <c r="A25" s="95"/>
      <c r="B25" s="226" t="s">
        <v>579</v>
      </c>
      <c r="C25" s="307">
        <f>'TB update upto 10.18'!G90</f>
        <v>500000</v>
      </c>
      <c r="D25" s="224"/>
      <c r="E25" s="98"/>
    </row>
    <row r="26" spans="1:5" ht="19" customHeight="1">
      <c r="A26" s="95"/>
      <c r="B26" s="226"/>
      <c r="C26" s="307"/>
      <c r="D26" s="224"/>
      <c r="E26" s="98"/>
    </row>
    <row r="27" spans="1:5" ht="19" customHeight="1">
      <c r="A27" s="95"/>
      <c r="B27" s="196" t="s">
        <v>434</v>
      </c>
      <c r="C27" s="224"/>
      <c r="D27" s="224"/>
      <c r="E27" s="98"/>
    </row>
    <row r="28" spans="1:5" ht="19" customHeight="1">
      <c r="A28" s="95"/>
      <c r="B28" s="88" t="s">
        <v>181</v>
      </c>
      <c r="C28" s="311">
        <f>'TB update upto 10.18'!G100</f>
        <v>298500</v>
      </c>
      <c r="D28" s="199">
        <v>298500</v>
      </c>
      <c r="E28" s="199">
        <v>0</v>
      </c>
    </row>
    <row r="29" spans="1:5" ht="19" customHeight="1" thickBot="1">
      <c r="A29" s="95"/>
      <c r="B29" s="95"/>
      <c r="C29" s="227">
        <f>+C12+SUM(C14:C28)</f>
        <v>21010111.5</v>
      </c>
      <c r="D29" s="227">
        <f>SUM(D10:D28)</f>
        <v>15311962</v>
      </c>
      <c r="E29" s="227">
        <f>SUM(E10:E18)</f>
        <v>21788699</v>
      </c>
    </row>
    <row r="30" spans="1:5" ht="19" customHeight="1" thickTop="1">
      <c r="A30" s="95"/>
      <c r="B30" s="95"/>
      <c r="C30" s="96"/>
      <c r="D30" s="96"/>
      <c r="E30" s="96"/>
    </row>
    <row r="31" spans="1:5" ht="19" customHeight="1" thickBot="1">
      <c r="A31" s="95"/>
      <c r="B31" s="95" t="s">
        <v>435</v>
      </c>
      <c r="C31" s="162">
        <v>0</v>
      </c>
      <c r="D31" s="162">
        <v>0</v>
      </c>
      <c r="E31" s="162">
        <v>0</v>
      </c>
    </row>
    <row r="32" spans="1:5" ht="19" customHeight="1" thickBot="1">
      <c r="A32" s="95"/>
      <c r="B32" s="95" t="s">
        <v>436</v>
      </c>
      <c r="C32" s="228">
        <f>C29</f>
        <v>21010111.5</v>
      </c>
      <c r="D32" s="228">
        <f>D29</f>
        <v>15311962</v>
      </c>
      <c r="E32" s="228">
        <f>E29</f>
        <v>21788699</v>
      </c>
    </row>
    <row r="33" spans="1:5" ht="19" customHeight="1">
      <c r="A33" s="95"/>
      <c r="B33" s="95"/>
      <c r="C33" s="114"/>
      <c r="D33" s="114"/>
      <c r="E33" s="114"/>
    </row>
    <row r="34" spans="1:5" ht="19" hidden="1" customHeight="1">
      <c r="A34" s="88"/>
      <c r="B34" s="95" t="s">
        <v>437</v>
      </c>
      <c r="C34" s="89"/>
      <c r="D34" s="229" t="s">
        <v>438</v>
      </c>
      <c r="E34" s="229" t="s">
        <v>438</v>
      </c>
    </row>
    <row r="35" spans="1:5" ht="19" hidden="1" customHeight="1">
      <c r="A35" s="95"/>
      <c r="B35" s="95"/>
      <c r="C35" s="96"/>
      <c r="D35" s="230" t="s">
        <v>424</v>
      </c>
      <c r="E35" s="230" t="s">
        <v>439</v>
      </c>
    </row>
    <row r="36" spans="1:5" ht="19" hidden="1" customHeight="1">
      <c r="A36" s="88"/>
      <c r="B36" s="95" t="s">
        <v>440</v>
      </c>
      <c r="C36" s="89"/>
      <c r="D36" s="231">
        <v>0</v>
      </c>
      <c r="E36" s="231">
        <v>0</v>
      </c>
    </row>
    <row r="37" spans="1:5" ht="19" hidden="1" customHeight="1">
      <c r="A37" s="88"/>
      <c r="B37" s="88" t="s">
        <v>441</v>
      </c>
      <c r="C37" s="89"/>
      <c r="D37" s="231">
        <v>0</v>
      </c>
      <c r="E37" s="231">
        <v>0</v>
      </c>
    </row>
    <row r="38" spans="1:5" ht="19" hidden="1" customHeight="1">
      <c r="A38" s="88"/>
      <c r="B38" s="88" t="s">
        <v>442</v>
      </c>
      <c r="C38" s="89"/>
      <c r="D38" s="231">
        <v>0</v>
      </c>
      <c r="E38" s="231">
        <v>0</v>
      </c>
    </row>
    <row r="39" spans="1:5" ht="19" hidden="1" customHeight="1">
      <c r="A39" s="88"/>
      <c r="B39" s="88" t="s">
        <v>443</v>
      </c>
      <c r="C39" s="89"/>
      <c r="D39" s="232">
        <v>0</v>
      </c>
      <c r="E39" s="232">
        <v>0</v>
      </c>
    </row>
    <row r="40" spans="1:5" ht="19" hidden="1" customHeight="1">
      <c r="A40" s="88"/>
      <c r="B40" s="88"/>
      <c r="C40" s="89"/>
      <c r="D40" s="89"/>
      <c r="E40" s="89"/>
    </row>
    <row r="41" spans="1:5" ht="19" hidden="1" customHeight="1">
      <c r="A41" s="95"/>
      <c r="B41" s="95" t="s">
        <v>444</v>
      </c>
      <c r="C41" s="96"/>
      <c r="D41" s="233">
        <f>SUM(D36:D39)</f>
        <v>0</v>
      </c>
      <c r="E41" s="233">
        <f>SUM(E36:E39)</f>
        <v>0</v>
      </c>
    </row>
    <row r="42" spans="1:5" ht="19" hidden="1" customHeight="1">
      <c r="A42" s="95"/>
      <c r="B42" s="95"/>
      <c r="C42" s="96"/>
      <c r="D42" s="96"/>
      <c r="E42" s="96"/>
    </row>
    <row r="43" spans="1:5" ht="19" customHeight="1">
      <c r="A43" s="173">
        <v>3.5</v>
      </c>
      <c r="B43" s="95" t="s">
        <v>253</v>
      </c>
      <c r="C43" s="96"/>
      <c r="D43" s="96"/>
      <c r="E43" s="96"/>
    </row>
    <row r="44" spans="1:5" ht="19" customHeight="1">
      <c r="A44" s="95"/>
      <c r="B44" s="95"/>
      <c r="C44" s="222" t="str">
        <f t="shared" ref="C44:E45" si="0">C6</f>
        <v xml:space="preserve">As at </v>
      </c>
      <c r="D44" s="222" t="str">
        <f t="shared" si="0"/>
        <v xml:space="preserve">As at </v>
      </c>
      <c r="E44" s="222" t="str">
        <f t="shared" si="0"/>
        <v xml:space="preserve">As at </v>
      </c>
    </row>
    <row r="45" spans="1:5" ht="19" customHeight="1" thickBot="1">
      <c r="A45" s="179"/>
      <c r="B45" s="179"/>
      <c r="C45" s="120" t="str">
        <f t="shared" si="0"/>
        <v>18 Magh 2082</v>
      </c>
      <c r="D45" s="120" t="str">
        <f t="shared" si="0"/>
        <v>32 Ashadh 2082</v>
      </c>
      <c r="E45" s="120" t="str">
        <f t="shared" si="0"/>
        <v>1 Shrawan 2081</v>
      </c>
    </row>
    <row r="46" spans="1:5" ht="19" customHeight="1">
      <c r="A46" s="95"/>
      <c r="B46" s="95"/>
      <c r="C46" s="96"/>
      <c r="D46" s="96"/>
      <c r="E46" s="96"/>
    </row>
    <row r="47" spans="1:5" ht="19" customHeight="1">
      <c r="A47" s="88"/>
      <c r="B47" s="88" t="s">
        <v>445</v>
      </c>
      <c r="C47" s="171">
        <f>'3.12 to 3.18 ao 10.18'!D28</f>
        <v>0</v>
      </c>
      <c r="D47" s="171">
        <v>0</v>
      </c>
      <c r="E47" s="171">
        <v>0</v>
      </c>
    </row>
    <row r="48" spans="1:5" ht="19" customHeight="1">
      <c r="A48" s="88"/>
      <c r="B48" s="88"/>
      <c r="C48" s="224"/>
      <c r="D48" s="224"/>
      <c r="E48" s="224"/>
    </row>
    <row r="49" spans="1:5" ht="19" customHeight="1" thickBot="1">
      <c r="A49" s="95"/>
      <c r="B49" s="95"/>
      <c r="C49" s="227">
        <f t="shared" ref="C49:D49" si="1">C47</f>
        <v>0</v>
      </c>
      <c r="D49" s="227">
        <f t="shared" si="1"/>
        <v>0</v>
      </c>
      <c r="E49" s="195">
        <f>E47</f>
        <v>0</v>
      </c>
    </row>
    <row r="50" spans="1:5" ht="19" customHeight="1" thickTop="1">
      <c r="A50" s="173">
        <v>3.6</v>
      </c>
      <c r="B50" s="95" t="s">
        <v>446</v>
      </c>
      <c r="C50" s="222"/>
      <c r="D50" s="89"/>
      <c r="E50" s="89"/>
    </row>
    <row r="51" spans="1:5" ht="19" customHeight="1">
      <c r="A51" s="173"/>
      <c r="B51" s="95"/>
      <c r="C51" s="222" t="str">
        <f t="shared" ref="C51:E52" si="2">C44</f>
        <v xml:space="preserve">As at </v>
      </c>
      <c r="D51" s="222" t="str">
        <f t="shared" si="2"/>
        <v xml:space="preserve">As at </v>
      </c>
      <c r="E51" s="222" t="str">
        <f t="shared" si="2"/>
        <v xml:space="preserve">As at </v>
      </c>
    </row>
    <row r="52" spans="1:5" ht="19" customHeight="1" thickBot="1">
      <c r="A52" s="173"/>
      <c r="B52" s="95"/>
      <c r="C52" s="120" t="str">
        <f t="shared" si="2"/>
        <v>18 Magh 2082</v>
      </c>
      <c r="D52" s="120" t="str">
        <f t="shared" si="2"/>
        <v>32 Ashadh 2082</v>
      </c>
      <c r="E52" s="120" t="str">
        <f t="shared" si="2"/>
        <v>1 Shrawan 2081</v>
      </c>
    </row>
    <row r="53" spans="1:5" ht="19" customHeight="1">
      <c r="A53" s="88"/>
      <c r="B53" s="95"/>
      <c r="C53" s="222"/>
      <c r="D53" s="96"/>
      <c r="E53" s="96"/>
    </row>
    <row r="54" spans="1:5" ht="19" customHeight="1">
      <c r="A54" s="88"/>
      <c r="B54" s="88" t="s">
        <v>447</v>
      </c>
      <c r="C54" s="224">
        <v>0</v>
      </c>
      <c r="D54" s="224">
        <v>0</v>
      </c>
      <c r="E54" s="224">
        <v>0</v>
      </c>
    </row>
    <row r="55" spans="1:5" ht="19" customHeight="1">
      <c r="A55" s="88"/>
      <c r="B55" s="88" t="s">
        <v>448</v>
      </c>
      <c r="C55" s="307">
        <f>'TB update upto 10.18'!G103</f>
        <v>804</v>
      </c>
      <c r="D55" s="224">
        <v>40804</v>
      </c>
      <c r="E55" s="224">
        <v>67329</v>
      </c>
    </row>
    <row r="56" spans="1:5" ht="19" customHeight="1">
      <c r="A56" s="88"/>
      <c r="B56" s="88" t="s">
        <v>449</v>
      </c>
      <c r="C56" s="312">
        <f>'TB update upto 10.18'!G102</f>
        <v>11833.349999999977</v>
      </c>
      <c r="D56" s="171">
        <v>850393</v>
      </c>
      <c r="E56" s="171">
        <v>0</v>
      </c>
    </row>
    <row r="57" spans="1:5" ht="19" customHeight="1">
      <c r="A57" s="179"/>
      <c r="B57" s="179"/>
      <c r="C57" s="234"/>
      <c r="D57" s="234"/>
      <c r="E57" s="179"/>
    </row>
    <row r="58" spans="1:5" ht="19" customHeight="1" thickBot="1">
      <c r="A58" s="179"/>
      <c r="B58" s="179"/>
      <c r="C58" s="202">
        <f>SUM(C54:C56)</f>
        <v>12637.349999999977</v>
      </c>
      <c r="D58" s="202">
        <f>SUM(D54:D56)</f>
        <v>891197</v>
      </c>
      <c r="E58" s="202">
        <f>SUM(E54:E56)</f>
        <v>67329</v>
      </c>
    </row>
    <row r="59" spans="1:5" ht="19" customHeight="1" thickTop="1">
      <c r="A59" s="179"/>
      <c r="B59" s="179"/>
      <c r="C59" s="222"/>
      <c r="D59" s="179"/>
      <c r="E59" s="179"/>
    </row>
    <row r="60" spans="1:5" ht="19" customHeight="1">
      <c r="A60" s="173">
        <v>3.7</v>
      </c>
      <c r="B60" s="95" t="s">
        <v>255</v>
      </c>
      <c r="C60" s="222"/>
      <c r="D60" s="96"/>
      <c r="E60" s="96"/>
    </row>
    <row r="61" spans="1:5" ht="19" customHeight="1">
      <c r="A61" s="95"/>
      <c r="B61" s="95"/>
      <c r="C61" s="222" t="str">
        <f t="shared" ref="C61:E62" si="3">C51</f>
        <v xml:space="preserve">As at </v>
      </c>
      <c r="D61" s="222" t="str">
        <f t="shared" si="3"/>
        <v xml:space="preserve">As at </v>
      </c>
      <c r="E61" s="222" t="str">
        <f t="shared" si="3"/>
        <v xml:space="preserve">As at </v>
      </c>
    </row>
    <row r="62" spans="1:5" ht="19" customHeight="1">
      <c r="A62" s="179"/>
      <c r="B62" s="179"/>
      <c r="C62" s="235" t="str">
        <f t="shared" si="3"/>
        <v>18 Magh 2082</v>
      </c>
      <c r="D62" s="235" t="str">
        <f t="shared" si="3"/>
        <v>32 Ashadh 2082</v>
      </c>
      <c r="E62" s="235" t="str">
        <f t="shared" si="3"/>
        <v>1 Shrawan 2081</v>
      </c>
    </row>
    <row r="63" spans="1:5" ht="19" customHeight="1">
      <c r="A63" s="95"/>
      <c r="B63" s="95"/>
      <c r="C63" s="222"/>
      <c r="D63" s="96"/>
      <c r="E63" s="96"/>
    </row>
    <row r="64" spans="1:5" ht="19" customHeight="1">
      <c r="A64" s="95"/>
      <c r="B64" s="226" t="s">
        <v>450</v>
      </c>
      <c r="C64" s="224"/>
      <c r="D64" s="224">
        <v>0</v>
      </c>
      <c r="E64" s="224"/>
    </row>
    <row r="65" spans="1:5" ht="19" customHeight="1">
      <c r="A65" s="95"/>
      <c r="B65" s="226" t="s">
        <v>451</v>
      </c>
      <c r="C65" s="224"/>
      <c r="D65" s="224">
        <v>0</v>
      </c>
      <c r="E65" s="224"/>
    </row>
    <row r="66" spans="1:5" ht="19" customHeight="1">
      <c r="A66" s="95"/>
      <c r="B66" s="226" t="s">
        <v>452</v>
      </c>
      <c r="C66" s="224">
        <v>0</v>
      </c>
      <c r="D66" s="224">
        <v>0</v>
      </c>
      <c r="E66" s="224">
        <v>0</v>
      </c>
    </row>
    <row r="67" spans="1:5" ht="19" customHeight="1">
      <c r="A67" s="88"/>
      <c r="B67" s="88"/>
      <c r="C67" s="200"/>
      <c r="D67" s="200"/>
      <c r="E67" s="171"/>
    </row>
    <row r="68" spans="1:5" ht="19" customHeight="1" thickBot="1">
      <c r="A68" s="95"/>
      <c r="B68" s="95"/>
      <c r="C68" s="202">
        <f>+SUM(C64:C67)</f>
        <v>0</v>
      </c>
      <c r="D68" s="202">
        <f t="shared" ref="D68:E68" si="4">+SUM(D64:D67)</f>
        <v>0</v>
      </c>
      <c r="E68" s="236">
        <f t="shared" si="4"/>
        <v>0</v>
      </c>
    </row>
    <row r="69" spans="1:5" ht="19" customHeight="1" thickTop="1"/>
  </sheetData>
  <mergeCells count="2">
    <mergeCell ref="A1:E1"/>
    <mergeCell ref="A2:D2"/>
  </mergeCells>
  <pageMargins left="0.7" right="0.7" top="0.75" bottom="0.75" header="0.3" footer="0.3"/>
  <pageSetup scale="105" orientation="portrait" r:id="rId1"/>
  <rowBreaks count="1" manualBreakCount="1">
    <brk id="49" max="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F741-0326-4DAC-88F8-D3D8AFF8E33D}">
  <sheetPr>
    <tabColor rgb="FFFF0000"/>
  </sheetPr>
  <dimension ref="A1:J58"/>
  <sheetViews>
    <sheetView showGridLines="0" view="pageBreakPreview" topLeftCell="A25" zoomScaleNormal="100" zoomScaleSheetLayoutView="100" workbookViewId="0">
      <selection activeCell="D38" sqref="D38"/>
    </sheetView>
  </sheetViews>
  <sheetFormatPr defaultColWidth="9.1796875" defaultRowHeight="13.5"/>
  <cols>
    <col min="1" max="1" width="6" style="180" customWidth="1"/>
    <col min="2" max="2" width="35.6328125" style="180" customWidth="1"/>
    <col min="3" max="3" width="8.81640625" style="180" customWidth="1"/>
    <col min="4" max="4" width="16.81640625" style="180" customWidth="1"/>
    <col min="5" max="5" width="16" style="180" customWidth="1"/>
    <col min="6" max="6" width="9.1796875" style="180"/>
    <col min="7" max="8" width="14.81640625" style="180" bestFit="1" customWidth="1"/>
    <col min="9" max="9" width="9.1796875" style="180"/>
    <col min="10" max="10" width="14.81640625" style="180" bestFit="1" customWidth="1"/>
    <col min="11" max="16384" width="9.1796875" style="180"/>
  </cols>
  <sheetData>
    <row r="1" spans="1:5" ht="17.5">
      <c r="A1" s="214" t="str">
        <f>'[5]3.3'!A1:E1</f>
        <v>CELER MART PVT. LTD.</v>
      </c>
      <c r="B1" s="214"/>
      <c r="C1" s="214"/>
      <c r="D1" s="214"/>
      <c r="E1" s="214"/>
    </row>
    <row r="2" spans="1:5" ht="18">
      <c r="B2" s="213"/>
      <c r="C2" s="214"/>
      <c r="D2" s="216"/>
      <c r="E2" s="215"/>
    </row>
    <row r="3" spans="1:5" ht="20" customHeight="1">
      <c r="B3" s="237" t="s">
        <v>337</v>
      </c>
      <c r="C3" s="237"/>
      <c r="D3" s="237"/>
      <c r="E3" s="237"/>
    </row>
    <row r="4" spans="1:5" ht="20" customHeight="1">
      <c r="B4" s="213"/>
      <c r="C4" s="214"/>
      <c r="D4" s="215"/>
      <c r="E4" s="215"/>
    </row>
    <row r="5" spans="1:5" ht="20" customHeight="1" thickBot="1">
      <c r="A5" s="218"/>
      <c r="B5" s="218"/>
      <c r="C5" s="219"/>
      <c r="D5" s="219"/>
      <c r="E5" s="182" t="s">
        <v>276</v>
      </c>
    </row>
    <row r="6" spans="1:5" ht="20" customHeight="1"/>
    <row r="7" spans="1:5" ht="20" customHeight="1">
      <c r="A7" s="183">
        <v>3.7</v>
      </c>
      <c r="B7" s="95" t="s">
        <v>114</v>
      </c>
      <c r="C7" s="89"/>
      <c r="D7" s="88"/>
      <c r="E7" s="88"/>
    </row>
    <row r="8" spans="1:5" ht="20" customHeight="1">
      <c r="A8" s="183"/>
      <c r="B8" s="95"/>
      <c r="C8" s="89"/>
      <c r="D8" s="250" t="str">
        <f>'3.4 to 3.6 ao 10.18'!D6</f>
        <v xml:space="preserve">As at </v>
      </c>
      <c r="E8" s="250" t="str">
        <f>'3.4 to 3.6 ao 10.18'!E6</f>
        <v xml:space="preserve">As at </v>
      </c>
    </row>
    <row r="9" spans="1:5" ht="20" customHeight="1" thickBot="1">
      <c r="A9" s="183"/>
      <c r="B9" s="95"/>
      <c r="C9" s="89"/>
      <c r="D9" s="120" t="str">
        <f>'3.4 to 3.6 ao 10.18'!C7</f>
        <v>18 Magh 2082</v>
      </c>
      <c r="E9" s="120" t="str">
        <f>'3.4 to 3.6 ao 10.18'!D7</f>
        <v>32 Ashadh 2082</v>
      </c>
    </row>
    <row r="10" spans="1:5" ht="20" customHeight="1">
      <c r="A10" s="183"/>
      <c r="B10" s="95"/>
      <c r="C10" s="89"/>
      <c r="D10" s="88"/>
      <c r="E10" s="88"/>
    </row>
    <row r="11" spans="1:5" ht="20" customHeight="1">
      <c r="A11" s="179"/>
      <c r="B11" s="95" t="s">
        <v>472</v>
      </c>
      <c r="C11" s="192"/>
      <c r="D11" s="192"/>
      <c r="E11" s="192"/>
    </row>
    <row r="12" spans="1:5" ht="20" customHeight="1">
      <c r="A12" s="179"/>
      <c r="B12" s="88" t="s">
        <v>473</v>
      </c>
      <c r="C12" s="89"/>
      <c r="D12" s="224">
        <v>26000000</v>
      </c>
      <c r="E12" s="199">
        <f>D12</f>
        <v>26000000</v>
      </c>
    </row>
    <row r="13" spans="1:5" ht="20" customHeight="1">
      <c r="A13" s="179"/>
      <c r="B13" s="95"/>
      <c r="C13" s="96"/>
      <c r="D13" s="96"/>
      <c r="E13" s="96"/>
    </row>
    <row r="14" spans="1:5" ht="20" customHeight="1">
      <c r="A14" s="179"/>
      <c r="B14" s="95" t="s">
        <v>474</v>
      </c>
      <c r="C14" s="89"/>
      <c r="D14" s="88"/>
      <c r="E14" s="88"/>
    </row>
    <row r="15" spans="1:5" ht="20" customHeight="1">
      <c r="A15" s="179"/>
      <c r="B15" s="204" t="s">
        <v>475</v>
      </c>
      <c r="C15" s="89"/>
      <c r="D15" s="88"/>
      <c r="E15" s="88"/>
    </row>
    <row r="16" spans="1:5" ht="20" customHeight="1">
      <c r="A16" s="179"/>
      <c r="B16" s="95"/>
      <c r="C16" s="192"/>
      <c r="D16" s="251" t="s">
        <v>476</v>
      </c>
      <c r="E16" s="251" t="s">
        <v>476</v>
      </c>
    </row>
    <row r="17" spans="1:5" ht="20" customHeight="1">
      <c r="A17" s="179"/>
      <c r="B17" s="179"/>
      <c r="C17" s="89"/>
      <c r="D17" s="252" t="s">
        <v>477</v>
      </c>
      <c r="E17" s="252" t="s">
        <v>478</v>
      </c>
    </row>
    <row r="18" spans="1:5" ht="20" customHeight="1">
      <c r="A18" s="179"/>
      <c r="B18" s="179"/>
      <c r="C18" s="89"/>
      <c r="D18" s="250" t="s">
        <v>239</v>
      </c>
      <c r="E18" s="250" t="s">
        <v>239</v>
      </c>
    </row>
    <row r="19" spans="1:5" ht="20" customHeight="1" thickBot="1">
      <c r="A19" s="179"/>
      <c r="B19" s="253"/>
      <c r="C19" s="89"/>
      <c r="D19" s="120" t="s">
        <v>585</v>
      </c>
      <c r="E19" s="120" t="s">
        <v>241</v>
      </c>
    </row>
    <row r="20" spans="1:5" ht="20" customHeight="1">
      <c r="A20" s="179"/>
      <c r="B20" s="254" t="s">
        <v>479</v>
      </c>
      <c r="C20" s="96"/>
      <c r="D20" s="224"/>
      <c r="E20" s="224"/>
    </row>
    <row r="21" spans="1:5" ht="20" customHeight="1">
      <c r="A21" s="179"/>
      <c r="B21" s="220" t="s">
        <v>12</v>
      </c>
      <c r="C21" s="96"/>
      <c r="D21" s="224"/>
      <c r="E21" s="224">
        <v>3200000</v>
      </c>
    </row>
    <row r="22" spans="1:5" ht="20" customHeight="1">
      <c r="A22" s="179"/>
      <c r="B22" s="220" t="s">
        <v>11</v>
      </c>
      <c r="C22" s="96"/>
      <c r="D22" s="224">
        <f>'TB update upto 10.18'!H10</f>
        <v>890000</v>
      </c>
      <c r="E22" s="224">
        <v>3200000</v>
      </c>
    </row>
    <row r="23" spans="1:5" ht="20" customHeight="1">
      <c r="A23" s="179"/>
      <c r="B23" s="88" t="s">
        <v>119</v>
      </c>
      <c r="C23" s="89"/>
      <c r="D23" s="224"/>
      <c r="E23" s="224">
        <v>200000</v>
      </c>
    </row>
    <row r="24" spans="1:5" ht="20" customHeight="1">
      <c r="A24" s="179"/>
      <c r="B24" s="88" t="s">
        <v>120</v>
      </c>
      <c r="C24" s="89"/>
      <c r="D24" s="224"/>
      <c r="E24" s="224">
        <v>1000000</v>
      </c>
    </row>
    <row r="25" spans="1:5" ht="20" customHeight="1">
      <c r="A25" s="179"/>
      <c r="B25" s="88" t="s">
        <v>480</v>
      </c>
      <c r="C25" s="89"/>
      <c r="D25" s="224"/>
      <c r="E25" s="224">
        <v>5000000</v>
      </c>
    </row>
    <row r="26" spans="1:5" ht="20" customHeight="1">
      <c r="A26" s="179"/>
      <c r="B26" s="46" t="s">
        <v>580</v>
      </c>
      <c r="C26" s="89"/>
      <c r="D26" s="224">
        <f>'TB update upto 10.18'!H15</f>
        <v>5000000</v>
      </c>
      <c r="E26" s="224"/>
    </row>
    <row r="27" spans="1:5" ht="20" customHeight="1">
      <c r="A27" s="179"/>
      <c r="B27" s="46" t="s">
        <v>581</v>
      </c>
      <c r="C27" s="89"/>
      <c r="D27" s="224">
        <f>'TB update upto 10.18'!H16</f>
        <v>2510000</v>
      </c>
      <c r="E27" s="224"/>
    </row>
    <row r="28" spans="1:5" ht="20" customHeight="1">
      <c r="A28" s="179"/>
      <c r="B28" s="46" t="s">
        <v>582</v>
      </c>
      <c r="C28" s="89"/>
      <c r="D28" s="224">
        <f>'TB update upto 10.18'!H17</f>
        <v>1260000</v>
      </c>
      <c r="E28" s="224"/>
    </row>
    <row r="29" spans="1:5" ht="20" customHeight="1">
      <c r="A29" s="179"/>
      <c r="B29" s="46" t="s">
        <v>583</v>
      </c>
      <c r="C29" s="89"/>
      <c r="D29" s="224">
        <f>'TB update upto 10.18'!H18</f>
        <v>630000</v>
      </c>
      <c r="E29" s="224"/>
    </row>
    <row r="30" spans="1:5" ht="20" customHeight="1">
      <c r="A30" s="179"/>
      <c r="B30" s="88"/>
      <c r="C30" s="89"/>
      <c r="D30" s="224"/>
      <c r="E30" s="224"/>
    </row>
    <row r="31" spans="1:5" ht="20" customHeight="1" thickBot="1">
      <c r="A31" s="179"/>
      <c r="B31" s="255" t="s">
        <v>109</v>
      </c>
      <c r="C31" s="89"/>
      <c r="D31" s="227">
        <f>SUM(D21:D30)</f>
        <v>10290000</v>
      </c>
      <c r="E31" s="227">
        <f>SUM(E21:E30)</f>
        <v>12600000</v>
      </c>
    </row>
    <row r="32" spans="1:5" ht="20" customHeight="1" thickTop="1">
      <c r="A32" s="179"/>
      <c r="C32" s="89"/>
      <c r="D32" s="247" t="s">
        <v>239</v>
      </c>
      <c r="E32" s="247" t="s">
        <v>239</v>
      </c>
    </row>
    <row r="33" spans="1:10" ht="20" customHeight="1" thickBot="1">
      <c r="A33" s="179"/>
      <c r="B33" s="254" t="s">
        <v>200</v>
      </c>
      <c r="C33" s="89"/>
      <c r="D33" s="120" t="s">
        <v>572</v>
      </c>
      <c r="E33" s="247" t="s">
        <v>241</v>
      </c>
    </row>
    <row r="34" spans="1:10" ht="20" customHeight="1">
      <c r="A34" s="179"/>
      <c r="B34" s="41" t="s">
        <v>481</v>
      </c>
      <c r="C34" s="89"/>
      <c r="D34" s="224">
        <f>'TB update upto 10.18'!H20</f>
        <v>20000000</v>
      </c>
      <c r="E34" s="224"/>
    </row>
    <row r="35" spans="1:10" ht="20" customHeight="1">
      <c r="A35" s="179"/>
      <c r="B35" s="47" t="s">
        <v>223</v>
      </c>
      <c r="C35" s="89"/>
      <c r="D35" s="224">
        <f>'TB update upto 10.18'!H21</f>
        <v>2000000</v>
      </c>
      <c r="E35" s="224"/>
    </row>
    <row r="36" spans="1:10" ht="20" customHeight="1">
      <c r="A36" s="179"/>
      <c r="B36" s="47" t="s">
        <v>482</v>
      </c>
      <c r="C36" s="89"/>
      <c r="D36" s="224">
        <f>'TB update upto 10.18'!H22</f>
        <v>500000</v>
      </c>
      <c r="E36" s="224"/>
    </row>
    <row r="37" spans="1:10" ht="20" customHeight="1">
      <c r="A37" s="179"/>
      <c r="B37" s="88" t="s">
        <v>120</v>
      </c>
      <c r="C37" s="89"/>
      <c r="D37" s="224"/>
      <c r="E37" s="224"/>
    </row>
    <row r="38" spans="1:10" ht="20" customHeight="1" thickBot="1">
      <c r="A38" s="179"/>
      <c r="B38" s="95" t="s">
        <v>109</v>
      </c>
      <c r="C38" s="96"/>
      <c r="D38" s="227">
        <f>SUM(D34:D37)</f>
        <v>22500000</v>
      </c>
      <c r="E38" s="227">
        <f>SUM(E34:E37)</f>
        <v>0</v>
      </c>
    </row>
    <row r="39" spans="1:10" ht="20" customHeight="1" thickTop="1">
      <c r="A39" s="179"/>
      <c r="B39" s="253"/>
      <c r="C39" s="96"/>
      <c r="D39" s="95"/>
      <c r="E39" s="95"/>
    </row>
    <row r="40" spans="1:10" ht="20" customHeight="1">
      <c r="A40" s="183">
        <v>3.8</v>
      </c>
      <c r="B40" s="95" t="s">
        <v>261</v>
      </c>
      <c r="C40" s="89"/>
      <c r="D40" s="88"/>
      <c r="E40" s="88"/>
    </row>
    <row r="41" spans="1:10" ht="20" customHeight="1">
      <c r="A41" s="179"/>
      <c r="B41" s="88"/>
      <c r="C41" s="88"/>
      <c r="D41" s="88"/>
      <c r="E41" s="88"/>
    </row>
    <row r="42" spans="1:10" ht="20" customHeight="1">
      <c r="A42" s="179"/>
      <c r="B42" s="204"/>
      <c r="C42" s="89"/>
      <c r="D42" s="250" t="str">
        <f>D8</f>
        <v xml:space="preserve">As at </v>
      </c>
      <c r="E42" s="250" t="str">
        <f>E8</f>
        <v xml:space="preserve">As at </v>
      </c>
    </row>
    <row r="43" spans="1:10" ht="20" customHeight="1" thickBot="1">
      <c r="A43" s="179"/>
      <c r="B43" s="179"/>
      <c r="C43" s="179"/>
      <c r="D43" s="256" t="str">
        <f>'SOFP  10.18'!C6</f>
        <v>18 Magh 2082</v>
      </c>
      <c r="E43" s="256" t="str">
        <f>'SOFP  10.18'!D6</f>
        <v>32 Ashadh 2082</v>
      </c>
      <c r="G43" s="180" t="s">
        <v>483</v>
      </c>
      <c r="J43" s="180" t="s">
        <v>484</v>
      </c>
    </row>
    <row r="44" spans="1:10" ht="20" customHeight="1">
      <c r="A44" s="179"/>
      <c r="B44" s="179"/>
      <c r="C44" s="179"/>
      <c r="D44" s="179"/>
      <c r="E44" s="179"/>
    </row>
    <row r="45" spans="1:10" ht="20" customHeight="1">
      <c r="A45" s="179"/>
      <c r="B45" s="179" t="s">
        <v>485</v>
      </c>
      <c r="C45" s="179"/>
      <c r="D45" s="234">
        <f>+E47</f>
        <v>-373576</v>
      </c>
      <c r="E45" s="234">
        <v>-196480</v>
      </c>
      <c r="G45" s="257">
        <f>+E45</f>
        <v>-196480</v>
      </c>
      <c r="J45" s="257">
        <f>+E45</f>
        <v>-196480</v>
      </c>
    </row>
    <row r="46" spans="1:10" ht="20" customHeight="1">
      <c r="A46" s="179"/>
      <c r="B46" s="179" t="s">
        <v>486</v>
      </c>
      <c r="C46" s="179"/>
      <c r="D46" s="234">
        <f>'SOI 10.18'!C23</f>
        <v>-164485.25</v>
      </c>
      <c r="E46" s="234">
        <f>'SOI 10.18'!D23</f>
        <v>-177096</v>
      </c>
      <c r="G46" s="258">
        <v>-2368782.9299999997</v>
      </c>
      <c r="J46" s="258">
        <f>+'SOI 10.18'!E19</f>
        <v>-2368782.9299999997</v>
      </c>
    </row>
    <row r="47" spans="1:10" ht="20" customHeight="1" thickBot="1">
      <c r="A47" s="179"/>
      <c r="B47" s="259" t="s">
        <v>487</v>
      </c>
      <c r="C47" s="260"/>
      <c r="D47" s="261">
        <f>SUM(D45:D46)</f>
        <v>-538061.25</v>
      </c>
      <c r="E47" s="261">
        <f>SUM(E45:E46)</f>
        <v>-373576</v>
      </c>
      <c r="G47" s="258">
        <f>SUM(G45:G46)</f>
        <v>-2565262.9299999997</v>
      </c>
      <c r="H47" s="180" t="s">
        <v>488</v>
      </c>
      <c r="J47" s="262">
        <f>+J45+J46</f>
        <v>-2565262.9299999997</v>
      </c>
    </row>
    <row r="48" spans="1:10" ht="20" customHeight="1" thickTop="1">
      <c r="A48" s="179"/>
      <c r="B48" s="179"/>
      <c r="C48" s="179"/>
      <c r="D48" s="234"/>
      <c r="E48" s="179"/>
      <c r="G48" s="258" t="e">
        <f>+#REF!+#REF!</f>
        <v>#REF!</v>
      </c>
      <c r="H48" s="180" t="s">
        <v>252</v>
      </c>
    </row>
    <row r="49" spans="5:7" ht="20" customHeight="1">
      <c r="E49" s="257">
        <f>+E47-G47</f>
        <v>2191686.9299999997</v>
      </c>
      <c r="G49" s="262" t="e">
        <f>+G47+G48</f>
        <v>#REF!</v>
      </c>
    </row>
    <row r="50" spans="5:7" ht="20" customHeight="1"/>
    <row r="51" spans="5:7" ht="20" customHeight="1"/>
    <row r="52" spans="5:7" ht="20" customHeight="1"/>
    <row r="53" spans="5:7" ht="20" customHeight="1"/>
    <row r="54" spans="5:7" ht="20" customHeight="1"/>
    <row r="55" spans="5:7" ht="20" customHeight="1"/>
    <row r="56" spans="5:7" ht="20" customHeight="1"/>
    <row r="57" spans="5:7" ht="20" customHeight="1"/>
    <row r="58" spans="5:7" ht="20" customHeight="1"/>
  </sheetData>
  <pageMargins left="0.7" right="0.7" top="0.75" bottom="0.75" header="0.3" footer="0.3"/>
  <pageSetup scale="85" orientation="portrait" r:id="rId1"/>
  <rowBreaks count="1" manualBreakCount="1">
    <brk id="39"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AB2D-C114-4FDF-98A1-80605E45E4DD}">
  <sheetPr>
    <tabColor rgb="FFFF0000"/>
  </sheetPr>
  <dimension ref="A1:G70"/>
  <sheetViews>
    <sheetView showGridLines="0" view="pageBreakPreview" zoomScaleNormal="100" zoomScaleSheetLayoutView="100" workbookViewId="0">
      <selection activeCell="C10" sqref="C10"/>
    </sheetView>
  </sheetViews>
  <sheetFormatPr defaultColWidth="9.1796875" defaultRowHeight="13.5"/>
  <cols>
    <col min="1" max="1" width="6.453125" style="180" bestFit="1" customWidth="1"/>
    <col min="2" max="2" width="41.81640625" style="180" customWidth="1"/>
    <col min="3" max="4" width="16.453125" style="180" customWidth="1"/>
    <col min="5" max="5" width="18" style="180" customWidth="1"/>
    <col min="6" max="6" width="18.81640625" style="180" customWidth="1"/>
    <col min="7" max="16384" width="9.1796875" style="180"/>
  </cols>
  <sheetData>
    <row r="1" spans="1:7" ht="17.5">
      <c r="A1" s="214" t="str">
        <f>'[5]3.3'!A1:E1</f>
        <v>CELER MART PVT. LTD.</v>
      </c>
      <c r="B1" s="214"/>
      <c r="C1" s="214"/>
      <c r="D1" s="214"/>
      <c r="E1" s="214"/>
      <c r="F1" s="214"/>
      <c r="G1" s="214"/>
    </row>
    <row r="2" spans="1:7" ht="18">
      <c r="C2" s="214"/>
      <c r="D2" s="214"/>
      <c r="E2" s="215"/>
      <c r="F2" s="216"/>
      <c r="G2" s="215"/>
    </row>
    <row r="3" spans="1:7" ht="20" customHeight="1">
      <c r="A3" s="237" t="s">
        <v>337</v>
      </c>
      <c r="B3" s="237"/>
      <c r="C3" s="237"/>
      <c r="D3" s="237"/>
      <c r="E3" s="237"/>
      <c r="F3" s="237"/>
      <c r="G3" s="237"/>
    </row>
    <row r="4" spans="1:7" ht="20" customHeight="1">
      <c r="C4" s="214"/>
      <c r="D4" s="214"/>
      <c r="E4" s="217"/>
      <c r="F4" s="215"/>
      <c r="G4" s="215"/>
    </row>
    <row r="5" spans="1:7" ht="20" customHeight="1" thickBot="1">
      <c r="A5" s="218"/>
      <c r="B5" s="218"/>
      <c r="C5" s="219"/>
      <c r="D5" s="219"/>
      <c r="E5" s="182"/>
      <c r="F5" s="182" t="s">
        <v>276</v>
      </c>
    </row>
    <row r="6" spans="1:7" ht="20" customHeight="1"/>
    <row r="7" spans="1:7" ht="20" customHeight="1">
      <c r="A7" s="183">
        <v>3.9</v>
      </c>
      <c r="B7" s="95" t="s">
        <v>453</v>
      </c>
      <c r="C7" s="89"/>
      <c r="D7" s="89"/>
      <c r="E7" s="89"/>
    </row>
    <row r="8" spans="1:7" ht="20" customHeight="1">
      <c r="B8" s="88"/>
      <c r="C8" s="238" t="s">
        <v>584</v>
      </c>
      <c r="D8" s="238" t="str">
        <f>'3.7 to 3.8 10.18'!D8</f>
        <v xml:space="preserve">As at </v>
      </c>
      <c r="E8" s="238" t="str">
        <f>'3.7 to 3.8 10.18'!E8</f>
        <v xml:space="preserve">As at </v>
      </c>
      <c r="F8" s="238" t="str">
        <f>E8</f>
        <v xml:space="preserve">As at </v>
      </c>
    </row>
    <row r="9" spans="1:7" ht="20" customHeight="1" thickBot="1">
      <c r="B9" s="95"/>
      <c r="C9" s="256" t="s">
        <v>598</v>
      </c>
      <c r="D9" s="120" t="str">
        <f>'SOFP  10.18'!C6</f>
        <v>18 Magh 2082</v>
      </c>
      <c r="E9" s="120" t="str">
        <f>'SOFP  10.18'!D6</f>
        <v>32 Ashadh 2082</v>
      </c>
      <c r="F9" s="120" t="str">
        <f>'SOFP  10.18'!E6</f>
        <v>1 Shrawan 2081</v>
      </c>
    </row>
    <row r="10" spans="1:7" ht="20" customHeight="1">
      <c r="B10" s="239" t="s">
        <v>454</v>
      </c>
      <c r="C10" s="96"/>
      <c r="D10" s="96"/>
      <c r="E10" s="96"/>
    </row>
    <row r="11" spans="1:7" ht="20" customHeight="1">
      <c r="B11" s="240" t="s">
        <v>455</v>
      </c>
      <c r="C11" s="98"/>
      <c r="D11" s="224">
        <v>0</v>
      </c>
      <c r="E11" s="224">
        <v>0</v>
      </c>
      <c r="F11" s="241">
        <v>0</v>
      </c>
    </row>
    <row r="12" spans="1:7" ht="20" customHeight="1">
      <c r="B12" s="240" t="s">
        <v>456</v>
      </c>
      <c r="C12" s="98"/>
      <c r="D12" s="224">
        <v>0</v>
      </c>
      <c r="E12" s="224">
        <v>0</v>
      </c>
      <c r="F12" s="241">
        <v>20756010</v>
      </c>
    </row>
    <row r="13" spans="1:7" ht="20" customHeight="1">
      <c r="B13" s="240" t="s">
        <v>145</v>
      </c>
      <c r="C13" s="98"/>
      <c r="D13" s="307">
        <f>'TB update upto 10.18'!H49</f>
        <v>2200000</v>
      </c>
      <c r="E13" s="98">
        <v>2200000</v>
      </c>
      <c r="F13" s="241"/>
    </row>
    <row r="14" spans="1:7" ht="20" customHeight="1">
      <c r="B14" s="240" t="s">
        <v>457</v>
      </c>
      <c r="C14" s="98"/>
      <c r="D14" s="224">
        <v>0</v>
      </c>
      <c r="E14" s="98">
        <v>1300000</v>
      </c>
      <c r="F14" s="241"/>
    </row>
    <row r="15" spans="1:7" ht="20" customHeight="1">
      <c r="B15" s="240" t="s">
        <v>147</v>
      </c>
      <c r="C15" s="98"/>
      <c r="D15" s="224"/>
      <c r="E15" s="98">
        <v>12000000</v>
      </c>
      <c r="F15" s="241"/>
    </row>
    <row r="16" spans="1:7" ht="20" customHeight="1">
      <c r="B16" s="240" t="s">
        <v>139</v>
      </c>
      <c r="C16" s="98"/>
      <c r="D16" s="307">
        <f>'TB update upto 10.18'!H40</f>
        <v>390000</v>
      </c>
      <c r="E16" s="98">
        <v>365000</v>
      </c>
      <c r="F16" s="241"/>
    </row>
    <row r="17" spans="1:6" ht="20" customHeight="1">
      <c r="B17" s="240" t="s">
        <v>458</v>
      </c>
      <c r="C17" s="98"/>
      <c r="D17" s="307">
        <f>'TB update upto 10.18'!H41</f>
        <v>200000</v>
      </c>
      <c r="E17" s="98">
        <v>200000</v>
      </c>
      <c r="F17" s="241"/>
    </row>
    <row r="18" spans="1:6" ht="20" customHeight="1">
      <c r="B18" s="240" t="s">
        <v>141</v>
      </c>
      <c r="C18" s="98"/>
      <c r="D18" s="307">
        <f>'TB update upto 10.18'!H42</f>
        <v>500000</v>
      </c>
      <c r="E18" s="98">
        <v>500000</v>
      </c>
      <c r="F18" s="241"/>
    </row>
    <row r="19" spans="1:6" ht="20" customHeight="1">
      <c r="B19" s="240" t="s">
        <v>459</v>
      </c>
      <c r="C19" s="98"/>
      <c r="D19" s="307">
        <f>'TB update upto 10.18'!H47</f>
        <v>380000</v>
      </c>
      <c r="E19" s="98">
        <v>600000</v>
      </c>
      <c r="F19" s="241"/>
    </row>
    <row r="20" spans="1:6" ht="20" customHeight="1">
      <c r="B20" s="240" t="s">
        <v>429</v>
      </c>
      <c r="C20" s="98"/>
      <c r="D20" s="307">
        <f>'TB update upto 10.18'!H89</f>
        <v>200000</v>
      </c>
      <c r="E20" s="98">
        <v>0</v>
      </c>
      <c r="F20" s="241"/>
    </row>
    <row r="21" spans="1:6" ht="20" customHeight="1">
      <c r="B21" s="240"/>
      <c r="C21" s="317"/>
      <c r="D21" s="310"/>
      <c r="E21" s="98"/>
      <c r="F21" s="241"/>
    </row>
    <row r="22" spans="1:6" ht="20" customHeight="1">
      <c r="B22" s="240"/>
      <c r="C22" s="98"/>
      <c r="D22" s="224"/>
      <c r="E22" s="98"/>
      <c r="F22" s="241"/>
    </row>
    <row r="23" spans="1:6" ht="20" customHeight="1" thickBot="1">
      <c r="B23" s="88"/>
      <c r="C23" s="202"/>
      <c r="D23" s="202">
        <f>SUM(D11:D20)</f>
        <v>3870000</v>
      </c>
      <c r="E23" s="202">
        <f>SUM(E11:E20)</f>
        <v>17165000</v>
      </c>
      <c r="F23" s="202">
        <f>SUM(F11:F19)</f>
        <v>20756010</v>
      </c>
    </row>
    <row r="24" spans="1:6" ht="20" customHeight="1" thickTop="1">
      <c r="B24" s="95"/>
      <c r="C24" s="96"/>
      <c r="D24" s="96"/>
      <c r="E24" s="96"/>
    </row>
    <row r="25" spans="1:6" ht="20" customHeight="1">
      <c r="B25" s="242" t="s">
        <v>460</v>
      </c>
      <c r="C25" s="113"/>
      <c r="D25" s="113">
        <f>D23-D26</f>
        <v>3870000</v>
      </c>
      <c r="E25" s="113">
        <f>E23-E26</f>
        <v>17165000</v>
      </c>
      <c r="F25" s="243">
        <f>F23-F26</f>
        <v>20756010</v>
      </c>
    </row>
    <row r="26" spans="1:6" ht="20" customHeight="1">
      <c r="B26" s="242" t="s">
        <v>461</v>
      </c>
      <c r="C26" s="113"/>
      <c r="D26" s="113">
        <f>D11</f>
        <v>0</v>
      </c>
      <c r="E26" s="113">
        <f>E11</f>
        <v>0</v>
      </c>
      <c r="F26" s="113">
        <f>F11</f>
        <v>0</v>
      </c>
    </row>
    <row r="27" spans="1:6" ht="20" customHeight="1">
      <c r="B27" s="88"/>
      <c r="C27" s="89"/>
      <c r="D27" s="89"/>
      <c r="E27" s="89"/>
      <c r="F27" s="89"/>
    </row>
    <row r="28" spans="1:6" ht="20" customHeight="1">
      <c r="B28" s="88"/>
      <c r="C28" s="89"/>
      <c r="D28" s="89"/>
      <c r="E28" s="89"/>
    </row>
    <row r="29" spans="1:6" ht="20" customHeight="1">
      <c r="A29" s="244" t="s">
        <v>266</v>
      </c>
      <c r="B29" s="95" t="s">
        <v>267</v>
      </c>
      <c r="C29" s="89"/>
      <c r="D29" s="89"/>
      <c r="E29" s="89"/>
    </row>
    <row r="30" spans="1:6" ht="20" customHeight="1">
      <c r="B30" s="95"/>
      <c r="C30" s="96"/>
      <c r="D30" s="96"/>
      <c r="E30" s="96"/>
    </row>
    <row r="31" spans="1:6" ht="20" customHeight="1">
      <c r="B31" s="88"/>
      <c r="C31" s="238" t="str">
        <f t="shared" ref="C31:F32" si="0">C8</f>
        <v>As at</v>
      </c>
      <c r="D31" s="238" t="str">
        <f t="shared" si="0"/>
        <v xml:space="preserve">As at </v>
      </c>
      <c r="E31" s="238" t="str">
        <f t="shared" si="0"/>
        <v xml:space="preserve">As at </v>
      </c>
      <c r="F31" s="238" t="str">
        <f t="shared" si="0"/>
        <v xml:space="preserve">As at </v>
      </c>
    </row>
    <row r="32" spans="1:6" ht="20" customHeight="1">
      <c r="B32" s="95"/>
      <c r="C32" s="245" t="str">
        <f t="shared" si="0"/>
        <v>15 Asadh 2083</v>
      </c>
      <c r="D32" s="245" t="str">
        <f t="shared" si="0"/>
        <v>18 Magh 2082</v>
      </c>
      <c r="E32" s="245" t="str">
        <f t="shared" si="0"/>
        <v>32 Ashadh 2082</v>
      </c>
      <c r="F32" s="245" t="str">
        <f t="shared" si="0"/>
        <v>1 Shrawan 2081</v>
      </c>
    </row>
    <row r="33" spans="1:7" ht="20" customHeight="1">
      <c r="B33" s="239"/>
      <c r="C33" s="96"/>
      <c r="D33" s="96"/>
      <c r="E33" s="96"/>
      <c r="F33" s="96"/>
    </row>
    <row r="34" spans="1:7" ht="20" customHeight="1">
      <c r="B34" s="246" t="s">
        <v>462</v>
      </c>
      <c r="C34" s="98"/>
      <c r="D34" s="224">
        <v>0</v>
      </c>
      <c r="E34" s="224">
        <v>0</v>
      </c>
      <c r="F34" s="224"/>
    </row>
    <row r="35" spans="1:7" ht="20" customHeight="1">
      <c r="B35" s="246" t="s">
        <v>463</v>
      </c>
      <c r="C35" s="101"/>
      <c r="D35" s="171"/>
      <c r="E35" s="171"/>
      <c r="F35" s="171"/>
    </row>
    <row r="36" spans="1:7" ht="20" customHeight="1" thickBot="1">
      <c r="B36" s="88"/>
      <c r="C36" s="202"/>
      <c r="D36" s="202">
        <f>SUM(D34:D35)</f>
        <v>0</v>
      </c>
      <c r="E36" s="202">
        <f>SUM(E34:E35)</f>
        <v>0</v>
      </c>
      <c r="F36" s="202">
        <f>SUM(F34:F35)</f>
        <v>0</v>
      </c>
    </row>
    <row r="37" spans="1:7" ht="20" customHeight="1" thickTop="1">
      <c r="B37" s="88"/>
      <c r="C37" s="89"/>
      <c r="D37" s="89"/>
      <c r="E37" s="89"/>
    </row>
    <row r="38" spans="1:7" ht="20" customHeight="1">
      <c r="A38" s="244">
        <v>3.11</v>
      </c>
      <c r="B38" s="95" t="s">
        <v>270</v>
      </c>
      <c r="C38" s="89"/>
      <c r="D38" s="89"/>
      <c r="E38" s="89"/>
    </row>
    <row r="39" spans="1:7" ht="20" customHeight="1">
      <c r="B39" s="95"/>
      <c r="C39" s="238" t="str">
        <f t="shared" ref="C39" si="1">C31</f>
        <v>As at</v>
      </c>
      <c r="D39" s="238" t="str">
        <f t="shared" ref="D39:F40" si="2">D31</f>
        <v xml:space="preserve">As at </v>
      </c>
      <c r="E39" s="238" t="str">
        <f t="shared" si="2"/>
        <v xml:space="preserve">As at </v>
      </c>
      <c r="F39" s="238" t="str">
        <f t="shared" si="2"/>
        <v xml:space="preserve">As at </v>
      </c>
    </row>
    <row r="40" spans="1:7" ht="20" customHeight="1">
      <c r="C40" s="245" t="str">
        <f t="shared" ref="C40" si="3">C32</f>
        <v>15 Asadh 2083</v>
      </c>
      <c r="D40" s="245" t="str">
        <f t="shared" si="2"/>
        <v>18 Magh 2082</v>
      </c>
      <c r="E40" s="245" t="str">
        <f t="shared" si="2"/>
        <v>32 Ashadh 2082</v>
      </c>
      <c r="F40" s="245" t="str">
        <f t="shared" si="2"/>
        <v>1 Shrawan 2081</v>
      </c>
    </row>
    <row r="41" spans="1:7" ht="20" customHeight="1">
      <c r="B41" s="240" t="s">
        <v>464</v>
      </c>
      <c r="C41" s="98"/>
      <c r="D41" s="307">
        <f>'TB update upto 10.18'!H26</f>
        <v>825</v>
      </c>
      <c r="E41" s="224">
        <v>375</v>
      </c>
      <c r="F41" s="224">
        <v>375</v>
      </c>
    </row>
    <row r="42" spans="1:7" ht="20" customHeight="1">
      <c r="B42" s="240" t="s">
        <v>130</v>
      </c>
      <c r="C42" s="98"/>
      <c r="D42" s="307">
        <f>'TB update upto 10.18'!H27</f>
        <v>29900</v>
      </c>
      <c r="E42" s="224">
        <v>25750</v>
      </c>
      <c r="F42" s="224">
        <v>248</v>
      </c>
    </row>
    <row r="43" spans="1:7" ht="20" customHeight="1">
      <c r="B43" s="240" t="s">
        <v>465</v>
      </c>
      <c r="C43" s="98"/>
      <c r="D43" s="307">
        <f>'TB update upto 10.18'!H30</f>
        <v>24000</v>
      </c>
      <c r="E43" s="98">
        <v>24000</v>
      </c>
      <c r="F43" s="98">
        <v>0</v>
      </c>
      <c r="G43" s="180" t="s">
        <v>466</v>
      </c>
    </row>
    <row r="44" spans="1:7" ht="20" customHeight="1">
      <c r="B44" s="240" t="s">
        <v>133</v>
      </c>
      <c r="C44" s="98"/>
      <c r="D44" s="307">
        <f>'TB update upto 10.18'!H31</f>
        <v>6600</v>
      </c>
      <c r="E44" s="98">
        <v>6600</v>
      </c>
      <c r="F44" s="98">
        <v>0</v>
      </c>
    </row>
    <row r="45" spans="1:7" ht="20" customHeight="1">
      <c r="B45" s="240" t="s">
        <v>467</v>
      </c>
      <c r="C45" s="98"/>
      <c r="D45" s="307">
        <f>'TB update upto 10.18'!H33</f>
        <v>61325</v>
      </c>
      <c r="E45" s="98">
        <v>27875</v>
      </c>
      <c r="F45" s="98">
        <v>27875</v>
      </c>
    </row>
    <row r="46" spans="1:7" ht="20" customHeight="1">
      <c r="B46" s="240" t="s">
        <v>136</v>
      </c>
      <c r="C46" s="98"/>
      <c r="D46" s="307">
        <f>'TB update upto 10.18'!H37</f>
        <v>222750</v>
      </c>
      <c r="E46" s="98">
        <v>222750</v>
      </c>
      <c r="F46" s="98">
        <v>0</v>
      </c>
    </row>
    <row r="47" spans="1:7" ht="20" customHeight="1">
      <c r="B47" s="240" t="s">
        <v>137</v>
      </c>
      <c r="C47" s="98"/>
      <c r="D47" s="307">
        <f>'TB update upto 10.18'!H38</f>
        <v>94500</v>
      </c>
      <c r="E47" s="98">
        <v>94500</v>
      </c>
      <c r="F47" s="98">
        <v>0</v>
      </c>
    </row>
    <row r="48" spans="1:7" ht="20" customHeight="1">
      <c r="B48" s="240" t="s">
        <v>468</v>
      </c>
      <c r="C48" s="98"/>
      <c r="D48" s="307">
        <f>'TB update upto 10.18'!H28</f>
        <v>7275</v>
      </c>
      <c r="E48" s="98"/>
      <c r="F48" s="98"/>
    </row>
    <row r="49" spans="1:6" ht="20" customHeight="1" thickBot="1">
      <c r="B49" s="88"/>
      <c r="C49" s="195"/>
      <c r="D49" s="227">
        <f>SUM(D41:D48)</f>
        <v>447175</v>
      </c>
      <c r="E49" s="227">
        <f>SUM(E41:E47)</f>
        <v>401850</v>
      </c>
      <c r="F49" s="227">
        <f>SUM(F41:F47)</f>
        <v>28498</v>
      </c>
    </row>
    <row r="50" spans="1:6" ht="20" customHeight="1" thickTop="1">
      <c r="B50" s="88" t="s">
        <v>469</v>
      </c>
      <c r="C50" s="104"/>
      <c r="D50" s="247"/>
      <c r="E50" s="247"/>
      <c r="F50" s="247"/>
    </row>
    <row r="51" spans="1:6" ht="20" customHeight="1">
      <c r="B51" s="88" t="str">
        <f>[5]Sheet1!A8</f>
        <v>Sita Karki</v>
      </c>
      <c r="C51" s="197"/>
      <c r="D51" s="315">
        <f>'TB update upto 10.18'!H44</f>
        <v>700000</v>
      </c>
      <c r="E51" s="247"/>
      <c r="F51" s="247"/>
    </row>
    <row r="52" spans="1:6" ht="20" customHeight="1">
      <c r="B52" s="88" t="str">
        <f>[5]Sheet1!A19</f>
        <v>Mamata Acharya - Payable</v>
      </c>
      <c r="C52" s="197"/>
      <c r="D52" s="248"/>
      <c r="E52" s="247"/>
      <c r="F52" s="247"/>
    </row>
    <row r="53" spans="1:6" ht="20" customHeight="1">
      <c r="B53" t="s">
        <v>33</v>
      </c>
      <c r="C53" s="25"/>
      <c r="D53" s="25"/>
      <c r="E53" s="25">
        <v>0</v>
      </c>
      <c r="F53" s="247"/>
    </row>
    <row r="54" spans="1:6" ht="20" customHeight="1">
      <c r="B54" t="s">
        <v>37</v>
      </c>
      <c r="C54" s="25"/>
      <c r="D54" s="316">
        <f>'TB update upto 10.18'!H46</f>
        <v>2000</v>
      </c>
      <c r="E54" s="25"/>
      <c r="F54" s="247"/>
    </row>
    <row r="55" spans="1:6" ht="20" customHeight="1">
      <c r="B55" t="s">
        <v>39</v>
      </c>
      <c r="C55" s="25"/>
      <c r="D55" s="25"/>
      <c r="E55" s="25">
        <v>0</v>
      </c>
      <c r="F55" s="247"/>
    </row>
    <row r="56" spans="1:6" ht="20" customHeight="1">
      <c r="B56" t="s">
        <v>40</v>
      </c>
      <c r="C56" s="25"/>
      <c r="D56" s="25"/>
      <c r="E56" s="25">
        <v>0</v>
      </c>
      <c r="F56" s="247"/>
    </row>
    <row r="57" spans="1:6" ht="20" customHeight="1">
      <c r="B57" t="s">
        <v>44</v>
      </c>
      <c r="C57" s="25"/>
      <c r="D57" s="25"/>
      <c r="E57" s="25"/>
      <c r="F57" s="247"/>
    </row>
    <row r="58" spans="1:6" ht="20" customHeight="1">
      <c r="B58" t="s">
        <v>53</v>
      </c>
      <c r="C58" s="25"/>
      <c r="D58" s="25"/>
      <c r="E58" s="25"/>
      <c r="F58" s="247"/>
    </row>
    <row r="59" spans="1:6" ht="20" customHeight="1">
      <c r="B59" t="s">
        <v>58</v>
      </c>
      <c r="C59" s="25"/>
      <c r="D59" s="25"/>
      <c r="E59" s="25"/>
      <c r="F59" s="247"/>
    </row>
    <row r="60" spans="1:6" ht="20" customHeight="1">
      <c r="B60" t="s">
        <v>73</v>
      </c>
      <c r="C60" s="25"/>
      <c r="D60" s="316">
        <f>'TB update upto 10.18'!H107</f>
        <v>40000</v>
      </c>
      <c r="E60" s="25"/>
      <c r="F60" s="247"/>
    </row>
    <row r="61" spans="1:6" s="88" customFormat="1" ht="20" customHeight="1">
      <c r="C61" s="318"/>
      <c r="D61" s="249">
        <f>SUM(D51:D60)</f>
        <v>742000</v>
      </c>
    </row>
    <row r="62" spans="1:6" ht="20" customHeight="1">
      <c r="B62" s="88"/>
      <c r="C62" s="104"/>
      <c r="D62" s="247"/>
      <c r="E62" s="247"/>
      <c r="F62" s="247"/>
    </row>
    <row r="63" spans="1:6" ht="20" customHeight="1">
      <c r="B63" s="88"/>
      <c r="C63" s="104"/>
      <c r="D63" s="247"/>
      <c r="E63" s="247"/>
      <c r="F63" s="247"/>
    </row>
    <row r="64" spans="1:6" ht="20" customHeight="1">
      <c r="A64" s="244">
        <v>3.12</v>
      </c>
      <c r="B64" s="95" t="s">
        <v>470</v>
      </c>
      <c r="C64" s="89"/>
      <c r="D64" s="89"/>
      <c r="E64" s="89"/>
    </row>
    <row r="65" spans="2:6" ht="20" customHeight="1">
      <c r="B65" s="95"/>
      <c r="C65" s="238" t="str">
        <f t="shared" ref="C65" si="4">C39</f>
        <v>As at</v>
      </c>
      <c r="D65" s="238" t="str">
        <f t="shared" ref="D65:F66" si="5">D39</f>
        <v xml:space="preserve">As at </v>
      </c>
      <c r="E65" s="238" t="str">
        <f t="shared" si="5"/>
        <v xml:space="preserve">As at </v>
      </c>
      <c r="F65" s="238" t="str">
        <f t="shared" si="5"/>
        <v xml:space="preserve">As at </v>
      </c>
    </row>
    <row r="66" spans="2:6" ht="20" customHeight="1">
      <c r="C66" s="245" t="str">
        <f t="shared" ref="C66" si="6">C40</f>
        <v>15 Asadh 2083</v>
      </c>
      <c r="D66" s="245" t="str">
        <f t="shared" si="5"/>
        <v>18 Magh 2082</v>
      </c>
      <c r="E66" s="245" t="str">
        <f t="shared" si="5"/>
        <v>32 Ashadh 2082</v>
      </c>
      <c r="F66" s="245" t="str">
        <f t="shared" si="5"/>
        <v>1 Shrawan 2081</v>
      </c>
    </row>
    <row r="67" spans="2:6" ht="20" customHeight="1">
      <c r="B67" s="240" t="s">
        <v>471</v>
      </c>
      <c r="C67" s="98"/>
      <c r="D67" s="224">
        <v>0</v>
      </c>
      <c r="E67" s="224">
        <v>0</v>
      </c>
      <c r="F67" s="224">
        <v>0</v>
      </c>
    </row>
    <row r="68" spans="2:6" ht="20" customHeight="1">
      <c r="B68" s="240"/>
      <c r="C68" s="98"/>
      <c r="D68" s="224"/>
      <c r="E68" s="224"/>
      <c r="F68" s="224"/>
    </row>
    <row r="69" spans="2:6" ht="20" customHeight="1" thickBot="1">
      <c r="B69" s="88"/>
      <c r="C69" s="195"/>
      <c r="D69" s="227">
        <f>SUM(D67:D68)</f>
        <v>0</v>
      </c>
      <c r="E69" s="227">
        <f>SUM(E67:E68)</f>
        <v>0</v>
      </c>
      <c r="F69" s="227">
        <f>SUM(F67:F68)</f>
        <v>0</v>
      </c>
    </row>
    <row r="70" spans="2:6" ht="14" thickTop="1"/>
  </sheetData>
  <pageMargins left="0.7" right="0.7" top="0.75" bottom="0.75" header="0.3" footer="0.3"/>
  <pageSetup scale="97" orientation="portrait" r:id="rId1"/>
  <rowBreaks count="2" manualBreakCount="2">
    <brk id="27" max="3" man="1"/>
    <brk id="62" max="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F0C6-3E31-445C-96B6-91FABE3D541E}">
  <sheetPr>
    <tabColor rgb="FFFF0000"/>
  </sheetPr>
  <dimension ref="A1:H87"/>
  <sheetViews>
    <sheetView showGridLines="0" view="pageBreakPreview" topLeftCell="A77" zoomScaleNormal="100" zoomScaleSheetLayoutView="100" workbookViewId="0">
      <selection activeCell="D72" sqref="D72"/>
    </sheetView>
  </sheetViews>
  <sheetFormatPr defaultColWidth="9.1796875" defaultRowHeight="13.5"/>
  <cols>
    <col min="1" max="1" width="7.6328125" style="180" customWidth="1"/>
    <col min="2" max="2" width="44.453125" style="180" bestFit="1" customWidth="1"/>
    <col min="3" max="3" width="6.453125" style="180" customWidth="1"/>
    <col min="4" max="4" width="22.6328125" style="180" customWidth="1"/>
    <col min="5" max="5" width="18.36328125" style="180" customWidth="1"/>
    <col min="6" max="6" width="9.1796875" style="180"/>
    <col min="7" max="7" width="11.1796875" style="180" bestFit="1" customWidth="1"/>
    <col min="8" max="8" width="14.1796875" style="180" bestFit="1" customWidth="1"/>
    <col min="9" max="16384" width="9.1796875" style="180"/>
  </cols>
  <sheetData>
    <row r="1" spans="1:8" ht="17.5">
      <c r="A1" s="327" t="str">
        <f>'[5]3.3'!A1:E1</f>
        <v>CELER MART PVT. LTD.</v>
      </c>
      <c r="B1" s="327"/>
      <c r="C1" s="327"/>
      <c r="D1" s="327"/>
      <c r="E1" s="327"/>
    </row>
    <row r="2" spans="1:8" ht="17.5">
      <c r="C2" s="213"/>
      <c r="D2" s="213"/>
      <c r="E2" s="214"/>
    </row>
    <row r="3" spans="1:8" ht="20" customHeight="1">
      <c r="A3" s="328" t="s">
        <v>337</v>
      </c>
      <c r="B3" s="328"/>
      <c r="C3" s="328"/>
      <c r="D3" s="328"/>
      <c r="E3" s="328"/>
    </row>
    <row r="4" spans="1:8" ht="20" customHeight="1">
      <c r="C4" s="213"/>
      <c r="D4" s="213"/>
      <c r="E4" s="214"/>
    </row>
    <row r="5" spans="1:8" ht="20" customHeight="1" thickBot="1">
      <c r="A5" s="218"/>
      <c r="B5" s="218"/>
      <c r="C5" s="218"/>
      <c r="D5" s="218"/>
      <c r="E5" s="182" t="s">
        <v>276</v>
      </c>
    </row>
    <row r="6" spans="1:8" ht="20" customHeight="1"/>
    <row r="7" spans="1:8" ht="20" customHeight="1">
      <c r="A7" s="183">
        <v>3.12</v>
      </c>
      <c r="B7" s="95" t="s">
        <v>489</v>
      </c>
      <c r="C7" s="89"/>
      <c r="D7" s="89"/>
      <c r="E7" s="89"/>
    </row>
    <row r="8" spans="1:8" ht="20" customHeight="1">
      <c r="A8" s="179"/>
      <c r="B8" s="95"/>
      <c r="C8" s="96"/>
      <c r="D8" s="263" t="str">
        <f>'SOI 10.18'!C7</f>
        <v>Upto 18 Magh 2082</v>
      </c>
      <c r="E8" s="263" t="str">
        <f>'SOI 10.18'!D7</f>
        <v>FY 2081-82</v>
      </c>
    </row>
    <row r="9" spans="1:8" ht="20" customHeight="1">
      <c r="A9" s="179"/>
      <c r="B9" s="88" t="s">
        <v>490</v>
      </c>
      <c r="C9" s="89"/>
      <c r="D9" s="224">
        <v>0</v>
      </c>
      <c r="E9" s="264">
        <v>0</v>
      </c>
      <c r="G9" s="258">
        <v>79597.179999999993</v>
      </c>
      <c r="H9" s="258">
        <v>1182752.57</v>
      </c>
    </row>
    <row r="10" spans="1:8" ht="20" customHeight="1">
      <c r="A10" s="179"/>
      <c r="B10" s="88" t="s">
        <v>491</v>
      </c>
      <c r="C10" s="89"/>
      <c r="D10" s="264"/>
      <c r="E10" s="265"/>
    </row>
    <row r="11" spans="1:8" ht="20" customHeight="1">
      <c r="A11" s="179"/>
      <c r="B11" s="95"/>
      <c r="C11" s="96"/>
      <c r="D11" s="266"/>
      <c r="E11" s="266"/>
    </row>
    <row r="12" spans="1:8" ht="20" customHeight="1" thickBot="1">
      <c r="A12" s="179"/>
      <c r="B12" s="88"/>
      <c r="C12" s="89"/>
      <c r="D12" s="267">
        <f>SUM(D9:D10)</f>
        <v>0</v>
      </c>
      <c r="E12" s="267">
        <f>SUM(E9:E10)</f>
        <v>0</v>
      </c>
    </row>
    <row r="13" spans="1:8" ht="20" customHeight="1" thickTop="1">
      <c r="A13" s="179"/>
      <c r="B13" s="88"/>
      <c r="C13" s="89"/>
      <c r="D13" s="268"/>
      <c r="E13" s="268"/>
    </row>
    <row r="14" spans="1:8" ht="20" customHeight="1">
      <c r="A14" s="179"/>
      <c r="B14" s="88"/>
      <c r="C14" s="89"/>
      <c r="D14" s="268"/>
      <c r="E14" s="268"/>
    </row>
    <row r="15" spans="1:8" ht="20" customHeight="1">
      <c r="A15" s="183">
        <v>3.13</v>
      </c>
      <c r="B15" s="95" t="s">
        <v>492</v>
      </c>
      <c r="C15" s="89"/>
      <c r="D15" s="89"/>
      <c r="E15" s="89"/>
    </row>
    <row r="16" spans="1:8" ht="20" customHeight="1">
      <c r="A16" s="179"/>
      <c r="B16" s="95"/>
      <c r="C16" s="96"/>
      <c r="D16" s="263" t="str">
        <f>D8</f>
        <v>Upto 18 Magh 2082</v>
      </c>
      <c r="E16" s="263" t="str">
        <f>E8</f>
        <v>FY 2081-82</v>
      </c>
    </row>
    <row r="17" spans="1:7" ht="20" customHeight="1">
      <c r="A17" s="179"/>
      <c r="B17" s="88" t="s">
        <v>493</v>
      </c>
      <c r="C17" s="89"/>
      <c r="D17" s="224">
        <v>0</v>
      </c>
      <c r="E17" s="265"/>
    </row>
    <row r="18" spans="1:7" ht="20" customHeight="1">
      <c r="A18" s="179"/>
      <c r="B18" s="88" t="s">
        <v>494</v>
      </c>
      <c r="C18" s="89"/>
      <c r="D18" s="224">
        <v>0</v>
      </c>
      <c r="E18" s="265">
        <v>0</v>
      </c>
    </row>
    <row r="19" spans="1:7" ht="20" customHeight="1">
      <c r="A19" s="179"/>
      <c r="B19" s="88" t="s">
        <v>495</v>
      </c>
      <c r="C19" s="89"/>
      <c r="D19" s="224">
        <v>0</v>
      </c>
      <c r="E19" s="265"/>
    </row>
    <row r="20" spans="1:7" ht="20" customHeight="1">
      <c r="A20" s="179"/>
      <c r="B20" s="95"/>
      <c r="C20" s="96"/>
      <c r="D20" s="266"/>
      <c r="E20" s="266"/>
    </row>
    <row r="21" spans="1:7" ht="20" customHeight="1" thickBot="1">
      <c r="A21" s="179"/>
      <c r="B21" s="88"/>
      <c r="C21" s="89"/>
      <c r="D21" s="267">
        <f>SUM(D17:D19)</f>
        <v>0</v>
      </c>
      <c r="E21" s="267">
        <f>SUM(E17:E19)</f>
        <v>0</v>
      </c>
    </row>
    <row r="22" spans="1:7" ht="20" customHeight="1" thickTop="1">
      <c r="A22" s="179"/>
      <c r="B22" s="88"/>
      <c r="C22" s="89"/>
      <c r="D22" s="268"/>
      <c r="E22" s="268"/>
    </row>
    <row r="23" spans="1:7" ht="20" customHeight="1">
      <c r="A23" s="179"/>
      <c r="B23" s="88"/>
      <c r="C23" s="89"/>
      <c r="D23" s="268"/>
      <c r="E23" s="268"/>
    </row>
    <row r="24" spans="1:7" ht="20" customHeight="1">
      <c r="A24" s="183">
        <v>3.14</v>
      </c>
      <c r="B24" s="95" t="s">
        <v>282</v>
      </c>
      <c r="C24" s="89"/>
      <c r="D24" s="89"/>
      <c r="E24" s="89"/>
    </row>
    <row r="25" spans="1:7" ht="20" customHeight="1">
      <c r="A25" s="179"/>
      <c r="B25" s="95"/>
      <c r="C25" s="96"/>
      <c r="D25" s="263" t="str">
        <f>D8</f>
        <v>Upto 18 Magh 2082</v>
      </c>
      <c r="E25" s="263" t="str">
        <f>E8</f>
        <v>FY 2081-82</v>
      </c>
    </row>
    <row r="26" spans="1:7" ht="20" customHeight="1">
      <c r="A26" s="179"/>
      <c r="B26" s="88" t="s">
        <v>496</v>
      </c>
      <c r="C26" s="89"/>
      <c r="D26" s="224">
        <f>E28</f>
        <v>0</v>
      </c>
      <c r="E26" s="269">
        <v>0</v>
      </c>
    </row>
    <row r="27" spans="1:7" ht="20" customHeight="1">
      <c r="A27" s="179"/>
      <c r="B27" s="88" t="s">
        <v>497</v>
      </c>
      <c r="C27" s="89"/>
      <c r="D27" s="224">
        <v>0</v>
      </c>
      <c r="E27" s="269">
        <v>0</v>
      </c>
      <c r="G27" s="180">
        <v>120571</v>
      </c>
    </row>
    <row r="28" spans="1:7" ht="20" customHeight="1">
      <c r="A28" s="179"/>
      <c r="B28" s="88" t="s">
        <v>498</v>
      </c>
      <c r="C28" s="89"/>
      <c r="D28" s="270">
        <v>0</v>
      </c>
      <c r="E28" s="271">
        <v>0</v>
      </c>
    </row>
    <row r="29" spans="1:7" ht="20" customHeight="1">
      <c r="A29" s="179"/>
      <c r="B29" s="95"/>
      <c r="C29" s="96"/>
      <c r="D29" s="272"/>
      <c r="E29" s="272"/>
    </row>
    <row r="30" spans="1:7" ht="20" customHeight="1" thickBot="1">
      <c r="A30" s="179"/>
      <c r="B30" s="95"/>
      <c r="C30" s="96"/>
      <c r="D30" s="267">
        <f>D26+D27-D28</f>
        <v>0</v>
      </c>
      <c r="E30" s="267">
        <f>E26+E27-E28</f>
        <v>0</v>
      </c>
    </row>
    <row r="31" spans="1:7" ht="20" customHeight="1" thickTop="1">
      <c r="A31" s="179"/>
      <c r="B31" s="95"/>
      <c r="C31" s="96"/>
      <c r="D31" s="268"/>
      <c r="E31" s="268"/>
    </row>
    <row r="32" spans="1:7" ht="20" customHeight="1">
      <c r="A32" s="183">
        <v>3.15</v>
      </c>
      <c r="B32" s="95" t="s">
        <v>283</v>
      </c>
      <c r="C32" s="89"/>
      <c r="D32" s="89"/>
      <c r="E32" s="89"/>
    </row>
    <row r="33" spans="1:7" ht="20" customHeight="1">
      <c r="A33" s="179"/>
      <c r="B33" s="95"/>
      <c r="C33" s="96"/>
      <c r="D33" s="263" t="str">
        <f>D66</f>
        <v>Upto 18 Magh 2082</v>
      </c>
      <c r="E33" s="263" t="str">
        <f>E66</f>
        <v>FY 2081-82</v>
      </c>
    </row>
    <row r="34" spans="1:7" ht="20" customHeight="1">
      <c r="A34" s="179"/>
      <c r="B34" s="273" t="s">
        <v>499</v>
      </c>
      <c r="C34" s="89"/>
      <c r="D34" s="224"/>
      <c r="E34" s="274"/>
    </row>
    <row r="35" spans="1:7" ht="20" customHeight="1">
      <c r="A35" s="179"/>
      <c r="B35" s="88" t="s">
        <v>500</v>
      </c>
      <c r="C35" s="89"/>
      <c r="D35" s="224"/>
      <c r="E35" s="269"/>
    </row>
    <row r="36" spans="1:7" ht="20" customHeight="1">
      <c r="A36" s="179"/>
      <c r="B36" s="275" t="s">
        <v>501</v>
      </c>
      <c r="C36" s="89"/>
      <c r="D36" s="224"/>
      <c r="E36" s="269"/>
    </row>
    <row r="37" spans="1:7" ht="20" customHeight="1">
      <c r="A37" s="179"/>
      <c r="B37" s="95"/>
      <c r="C37" s="96"/>
      <c r="D37" s="276"/>
      <c r="E37" s="266"/>
    </row>
    <row r="38" spans="1:7" ht="20" customHeight="1" thickBot="1">
      <c r="A38" s="179"/>
      <c r="B38" s="95"/>
      <c r="C38" s="96"/>
      <c r="D38" s="277">
        <f>SUM(D34:D36)</f>
        <v>0</v>
      </c>
      <c r="E38" s="267">
        <f>SUM(E34:E36)</f>
        <v>0</v>
      </c>
    </row>
    <row r="39" spans="1:7" ht="20" customHeight="1" thickTop="1">
      <c r="A39" s="179"/>
      <c r="B39" s="95"/>
      <c r="C39" s="96"/>
      <c r="D39" s="278"/>
      <c r="E39" s="268"/>
    </row>
    <row r="40" spans="1:7" ht="20" customHeight="1">
      <c r="A40" s="179"/>
      <c r="B40" s="95"/>
      <c r="C40" s="96"/>
      <c r="D40" s="268"/>
      <c r="E40" s="268"/>
    </row>
    <row r="41" spans="1:7" ht="20" customHeight="1">
      <c r="A41" s="183">
        <v>3.16</v>
      </c>
      <c r="B41" s="95" t="s">
        <v>284</v>
      </c>
      <c r="C41" s="89"/>
      <c r="D41" s="89"/>
      <c r="E41" s="89"/>
    </row>
    <row r="42" spans="1:7" ht="20" customHeight="1">
      <c r="A42" s="179"/>
      <c r="B42" s="95"/>
      <c r="C42" s="96"/>
      <c r="D42" s="263" t="str">
        <f>D25</f>
        <v>Upto 18 Magh 2082</v>
      </c>
      <c r="E42" s="263" t="str">
        <f>E25</f>
        <v>FY 2081-82</v>
      </c>
    </row>
    <row r="43" spans="1:7" ht="20" customHeight="1">
      <c r="A43" s="179"/>
      <c r="B43" s="88" t="s">
        <v>502</v>
      </c>
      <c r="C43" s="89"/>
      <c r="D43" s="224">
        <v>0</v>
      </c>
      <c r="E43" s="269">
        <v>0</v>
      </c>
    </row>
    <row r="44" spans="1:7" ht="20" hidden="1" customHeight="1">
      <c r="A44" s="179"/>
      <c r="B44" s="88" t="s">
        <v>503</v>
      </c>
      <c r="C44" s="89"/>
      <c r="D44" s="224"/>
      <c r="E44" s="269"/>
    </row>
    <row r="45" spans="1:7" ht="20" hidden="1" customHeight="1">
      <c r="A45" s="179"/>
      <c r="B45" s="88" t="s">
        <v>504</v>
      </c>
      <c r="C45" s="89"/>
      <c r="D45" s="224"/>
      <c r="E45" s="269"/>
    </row>
    <row r="46" spans="1:7" ht="20" hidden="1" customHeight="1">
      <c r="A46" s="179"/>
      <c r="B46" s="88" t="s">
        <v>505</v>
      </c>
      <c r="C46" s="89"/>
      <c r="D46" s="224"/>
      <c r="E46" s="269"/>
      <c r="G46" s="180">
        <f>58914+49076</f>
        <v>107990</v>
      </c>
    </row>
    <row r="47" spans="1:7" ht="20" hidden="1" customHeight="1">
      <c r="A47" s="179"/>
      <c r="B47" s="88" t="s">
        <v>506</v>
      </c>
      <c r="C47" s="89"/>
      <c r="D47" s="224"/>
      <c r="E47" s="269"/>
    </row>
    <row r="48" spans="1:7" ht="20" customHeight="1">
      <c r="A48" s="179"/>
      <c r="B48" s="88"/>
      <c r="C48" s="89"/>
      <c r="D48" s="89"/>
      <c r="E48" s="200"/>
    </row>
    <row r="49" spans="1:5" ht="20" customHeight="1">
      <c r="A49" s="179"/>
      <c r="B49" s="88"/>
      <c r="C49" s="89"/>
      <c r="D49" s="266"/>
      <c r="E49" s="272"/>
    </row>
    <row r="50" spans="1:5" ht="20" customHeight="1" thickBot="1">
      <c r="A50" s="179"/>
      <c r="B50" s="95"/>
      <c r="C50" s="96"/>
      <c r="D50" s="267">
        <f>SUM(D43:D48)</f>
        <v>0</v>
      </c>
      <c r="E50" s="267">
        <f>SUM(E43:E47)</f>
        <v>0</v>
      </c>
    </row>
    <row r="51" spans="1:5" ht="20" customHeight="1" thickTop="1">
      <c r="A51" s="179"/>
      <c r="B51" s="88"/>
      <c r="C51" s="89"/>
      <c r="D51" s="89"/>
      <c r="E51" s="89"/>
    </row>
    <row r="52" spans="1:5" ht="20" hidden="1" customHeight="1" thickTop="1">
      <c r="A52" s="179"/>
      <c r="B52" s="95" t="s">
        <v>507</v>
      </c>
      <c r="C52" s="89"/>
      <c r="D52" s="89"/>
      <c r="E52" s="89"/>
    </row>
    <row r="53" spans="1:5" ht="35" hidden="1" customHeight="1">
      <c r="A53" s="179"/>
      <c r="B53" s="329" t="s">
        <v>508</v>
      </c>
      <c r="C53" s="329"/>
      <c r="D53" s="329"/>
      <c r="E53" s="329"/>
    </row>
    <row r="54" spans="1:5" ht="20" hidden="1" customHeight="1">
      <c r="A54" s="179"/>
      <c r="B54" s="88"/>
      <c r="C54" s="89"/>
      <c r="D54" s="89"/>
      <c r="E54" s="89"/>
    </row>
    <row r="55" spans="1:5" ht="20" hidden="1" customHeight="1">
      <c r="A55" s="179"/>
      <c r="B55" s="95"/>
      <c r="C55" s="96"/>
      <c r="D55" s="263" t="str">
        <f>D42</f>
        <v>Upto 18 Magh 2082</v>
      </c>
      <c r="E55" s="263" t="str">
        <f>E42</f>
        <v>FY 2081-82</v>
      </c>
    </row>
    <row r="56" spans="1:5" ht="20" hidden="1" customHeight="1">
      <c r="A56" s="179"/>
      <c r="B56" s="88" t="s">
        <v>188</v>
      </c>
      <c r="C56" s="89"/>
      <c r="D56" s="89"/>
      <c r="E56" s="89"/>
    </row>
    <row r="57" spans="1:5" ht="20" hidden="1" customHeight="1">
      <c r="A57" s="179"/>
      <c r="B57" s="88" t="s">
        <v>509</v>
      </c>
      <c r="C57" s="89"/>
      <c r="D57" s="89"/>
      <c r="E57" s="89"/>
    </row>
    <row r="58" spans="1:5" ht="20" hidden="1" customHeight="1">
      <c r="A58" s="179"/>
      <c r="B58" s="88" t="s">
        <v>510</v>
      </c>
      <c r="C58" s="89"/>
      <c r="D58" s="89"/>
      <c r="E58" s="89"/>
    </row>
    <row r="59" spans="1:5" ht="20" hidden="1" customHeight="1">
      <c r="A59" s="179"/>
      <c r="B59" s="88" t="s">
        <v>511</v>
      </c>
      <c r="C59" s="89"/>
      <c r="D59" s="89"/>
      <c r="E59" s="89"/>
    </row>
    <row r="60" spans="1:5" ht="20" hidden="1" customHeight="1">
      <c r="A60" s="179"/>
      <c r="B60" s="88" t="s">
        <v>512</v>
      </c>
      <c r="C60" s="89"/>
      <c r="D60" s="89"/>
      <c r="E60" s="89"/>
    </row>
    <row r="61" spans="1:5" ht="20" hidden="1" customHeight="1">
      <c r="A61" s="179"/>
      <c r="B61" s="88"/>
      <c r="C61" s="96"/>
      <c r="D61" s="266"/>
      <c r="E61" s="266"/>
    </row>
    <row r="62" spans="1:5" ht="20" hidden="1" customHeight="1">
      <c r="A62" s="179"/>
      <c r="B62" s="179"/>
      <c r="C62" s="179"/>
      <c r="D62" s="267">
        <f>SUM(D60:D60)</f>
        <v>0</v>
      </c>
      <c r="E62" s="267">
        <f>SUM(E60:E60)</f>
        <v>0</v>
      </c>
    </row>
    <row r="63" spans="1:5" ht="20" hidden="1" customHeight="1">
      <c r="A63" s="179"/>
      <c r="B63" s="179"/>
      <c r="C63" s="179"/>
      <c r="D63" s="179"/>
      <c r="E63" s="179"/>
    </row>
    <row r="64" spans="1:5" ht="20" hidden="1" customHeight="1">
      <c r="A64" s="179"/>
      <c r="B64" s="179"/>
      <c r="C64" s="179"/>
      <c r="D64" s="179"/>
      <c r="E64" s="179"/>
    </row>
    <row r="65" spans="1:5" ht="20" customHeight="1">
      <c r="A65" s="183">
        <v>3.17</v>
      </c>
      <c r="B65" s="95" t="s">
        <v>285</v>
      </c>
      <c r="C65" s="89"/>
      <c r="D65" s="89"/>
      <c r="E65" s="89"/>
    </row>
    <row r="66" spans="1:5" ht="20" customHeight="1">
      <c r="A66" s="179"/>
      <c r="B66" s="95"/>
      <c r="C66" s="96"/>
      <c r="D66" s="263" t="str">
        <f>D55</f>
        <v>Upto 18 Magh 2082</v>
      </c>
      <c r="E66" s="263" t="str">
        <f>E55</f>
        <v>FY 2081-82</v>
      </c>
    </row>
    <row r="67" spans="1:5" ht="20" customHeight="1">
      <c r="A67" s="179"/>
      <c r="B67" s="196" t="s">
        <v>513</v>
      </c>
      <c r="C67" s="96"/>
      <c r="D67" s="279"/>
      <c r="E67" s="279"/>
    </row>
    <row r="68" spans="1:5" ht="20" customHeight="1">
      <c r="A68" s="179"/>
      <c r="B68" s="280" t="s">
        <v>187</v>
      </c>
      <c r="C68" s="89"/>
      <c r="D68" s="224">
        <f>'TB update upto 10.18'!G106</f>
        <v>33900</v>
      </c>
      <c r="E68" s="281">
        <v>28250</v>
      </c>
    </row>
    <row r="69" spans="1:5" ht="20" customHeight="1">
      <c r="A69" s="179"/>
      <c r="B69" s="280" t="s">
        <v>514</v>
      </c>
      <c r="C69" s="89"/>
      <c r="D69" s="224"/>
      <c r="E69" s="281">
        <v>1132</v>
      </c>
    </row>
    <row r="70" spans="1:5" ht="20" customHeight="1">
      <c r="A70" s="179"/>
      <c r="B70" s="280" t="s">
        <v>515</v>
      </c>
      <c r="C70" s="89"/>
      <c r="D70" s="224"/>
      <c r="E70" s="281"/>
    </row>
    <row r="71" spans="1:5" ht="20" customHeight="1">
      <c r="A71" s="179"/>
      <c r="B71" s="280" t="s">
        <v>516</v>
      </c>
      <c r="C71" s="89"/>
      <c r="D71" s="224"/>
      <c r="E71" s="281"/>
    </row>
    <row r="72" spans="1:5" ht="20" customHeight="1">
      <c r="A72" s="179"/>
      <c r="B72" s="280" t="s">
        <v>517</v>
      </c>
      <c r="C72" s="89"/>
      <c r="D72" s="224"/>
      <c r="E72" s="281"/>
    </row>
    <row r="73" spans="1:5" ht="20" customHeight="1">
      <c r="A73" s="179"/>
      <c r="B73" s="280" t="s">
        <v>518</v>
      </c>
      <c r="C73" s="89"/>
      <c r="D73" s="224"/>
      <c r="E73" s="281"/>
    </row>
    <row r="74" spans="1:5" ht="20" customHeight="1">
      <c r="A74" s="179"/>
      <c r="B74" s="280" t="s">
        <v>519</v>
      </c>
      <c r="C74" s="89"/>
      <c r="D74" s="224"/>
      <c r="E74" s="281"/>
    </row>
    <row r="75" spans="1:5" ht="20" customHeight="1">
      <c r="A75" s="179"/>
      <c r="B75" s="280" t="s">
        <v>520</v>
      </c>
      <c r="C75" s="89"/>
      <c r="D75" s="224"/>
      <c r="E75" s="281"/>
    </row>
    <row r="76" spans="1:5" ht="20" customHeight="1">
      <c r="A76" s="179"/>
      <c r="B76" s="282" t="s">
        <v>521</v>
      </c>
      <c r="C76" s="89"/>
      <c r="D76" s="224"/>
      <c r="E76" s="281"/>
    </row>
    <row r="77" spans="1:5" ht="20" customHeight="1">
      <c r="A77" s="179"/>
      <c r="B77" s="282" t="s">
        <v>102</v>
      </c>
      <c r="C77" s="89"/>
      <c r="D77" s="224"/>
      <c r="E77" s="281"/>
    </row>
    <row r="78" spans="1:5" ht="20" customHeight="1">
      <c r="A78" s="179"/>
      <c r="B78" s="282" t="s">
        <v>522</v>
      </c>
      <c r="C78" s="89"/>
      <c r="D78" s="224"/>
      <c r="E78" s="224"/>
    </row>
    <row r="79" spans="1:5" ht="20" customHeight="1">
      <c r="A79" s="179"/>
      <c r="B79" s="282" t="s">
        <v>523</v>
      </c>
      <c r="C79" s="89"/>
      <c r="D79" s="283"/>
      <c r="E79" s="224"/>
    </row>
    <row r="80" spans="1:5" ht="20" customHeight="1">
      <c r="A80" s="179"/>
      <c r="B80" s="88" t="s">
        <v>524</v>
      </c>
      <c r="C80" s="179"/>
      <c r="D80" s="224"/>
      <c r="E80" s="224"/>
    </row>
    <row r="81" spans="1:5" ht="20" customHeight="1" thickBot="1">
      <c r="A81" s="179"/>
      <c r="B81" s="88"/>
      <c r="C81" s="179"/>
      <c r="D81" s="267">
        <f>SUM(D68:D80)</f>
        <v>33900</v>
      </c>
      <c r="E81" s="267">
        <f>SUM(E68:E80)</f>
        <v>29382</v>
      </c>
    </row>
    <row r="82" spans="1:5" ht="20" customHeight="1" thickTop="1">
      <c r="A82" s="179"/>
      <c r="B82" s="88"/>
      <c r="C82" s="179"/>
      <c r="D82" s="224"/>
      <c r="E82" s="224"/>
    </row>
    <row r="83" spans="1:5" ht="20" customHeight="1">
      <c r="A83" s="183">
        <v>3.18</v>
      </c>
      <c r="B83" s="95" t="s">
        <v>525</v>
      </c>
      <c r="C83" s="89"/>
      <c r="D83" s="89"/>
      <c r="E83" s="89"/>
    </row>
    <row r="84" spans="1:5" ht="20" customHeight="1">
      <c r="A84" s="179"/>
      <c r="B84" s="95"/>
      <c r="C84" s="96"/>
      <c r="D84" s="263" t="str">
        <f>D33</f>
        <v>Upto 18 Magh 2082</v>
      </c>
      <c r="E84" s="263" t="str">
        <f>E33</f>
        <v>FY 2081-82</v>
      </c>
    </row>
    <row r="85" spans="1:5" ht="20" customHeight="1">
      <c r="A85" s="179"/>
      <c r="B85" s="88" t="s">
        <v>526</v>
      </c>
      <c r="C85" s="89"/>
      <c r="D85" s="224"/>
      <c r="E85" s="224"/>
    </row>
    <row r="86" spans="1:5" ht="20" customHeight="1" thickBot="1">
      <c r="A86" s="179"/>
      <c r="B86" s="95"/>
      <c r="C86" s="96"/>
      <c r="D86" s="267">
        <f>SUM(D85:D85)</f>
        <v>0</v>
      </c>
      <c r="E86" s="267">
        <f>SUM(E85:E85)</f>
        <v>0</v>
      </c>
    </row>
    <row r="87" spans="1:5" ht="14" thickTop="1">
      <c r="A87" s="179"/>
      <c r="B87" s="179"/>
      <c r="C87" s="179"/>
      <c r="D87" s="179"/>
      <c r="E87" s="179"/>
    </row>
  </sheetData>
  <mergeCells count="3">
    <mergeCell ref="A1:E1"/>
    <mergeCell ref="A3:E3"/>
    <mergeCell ref="B53:E53"/>
  </mergeCells>
  <pageMargins left="0.7" right="0.7" top="0.75" bottom="0.75" header="0.3" footer="0.3"/>
  <pageSetup scale="78" orientation="portrait" r:id="rId1"/>
  <rowBreaks count="1" manualBreakCount="1">
    <brk id="40"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F912-D469-4D04-A0EB-2E61472F43FC}">
  <sheetPr>
    <tabColor rgb="FFFF0000"/>
  </sheetPr>
  <dimension ref="A1:D37"/>
  <sheetViews>
    <sheetView showGridLines="0" view="pageBreakPreview" topLeftCell="A33" zoomScaleNormal="100" zoomScaleSheetLayoutView="100" workbookViewId="0">
      <selection activeCell="C22" sqref="C22"/>
    </sheetView>
  </sheetViews>
  <sheetFormatPr defaultColWidth="9.1796875" defaultRowHeight="13.5"/>
  <cols>
    <col min="1" max="1" width="9.1796875" style="180"/>
    <col min="2" max="2" width="45.1796875" style="180" bestFit="1" customWidth="1"/>
    <col min="3" max="3" width="21.54296875" style="180" customWidth="1"/>
    <col min="4" max="4" width="20.453125" style="180" customWidth="1"/>
    <col min="5" max="16384" width="9.1796875" style="180"/>
  </cols>
  <sheetData>
    <row r="1" spans="1:4" ht="17.5">
      <c r="A1" s="327" t="str">
        <f>'[5]3.3'!A1:E1</f>
        <v>CELER MART PVT. LTD.</v>
      </c>
      <c r="B1" s="327"/>
      <c r="C1" s="327"/>
      <c r="D1" s="327"/>
    </row>
    <row r="2" spans="1:4" ht="17.5">
      <c r="C2" s="213" t="s">
        <v>599</v>
      </c>
      <c r="D2" s="213"/>
    </row>
    <row r="3" spans="1:4" ht="20" customHeight="1">
      <c r="A3" s="328" t="s">
        <v>337</v>
      </c>
      <c r="B3" s="328"/>
      <c r="C3" s="328"/>
      <c r="D3" s="328"/>
    </row>
    <row r="4" spans="1:4" ht="20" customHeight="1">
      <c r="C4" s="213"/>
      <c r="D4" s="213"/>
    </row>
    <row r="5" spans="1:4" ht="20" customHeight="1" thickBot="1">
      <c r="A5" s="218"/>
      <c r="B5" s="218"/>
      <c r="C5" s="218"/>
      <c r="D5" s="182" t="s">
        <v>276</v>
      </c>
    </row>
    <row r="6" spans="1:4" ht="20" customHeight="1"/>
    <row r="7" spans="1:4" ht="20" customHeight="1">
      <c r="A7" s="183">
        <v>3.19</v>
      </c>
      <c r="B7" s="95" t="s">
        <v>527</v>
      </c>
      <c r="C7" s="89"/>
      <c r="D7" s="89"/>
    </row>
    <row r="8" spans="1:4" ht="20" customHeight="1">
      <c r="B8" s="95"/>
      <c r="C8" s="284" t="str">
        <f>'3.12 to 3.18 ao 10.18'!D8</f>
        <v>Upto 18 Magh 2082</v>
      </c>
      <c r="D8" s="284" t="str">
        <f>'3.12 to 3.18 ao 10.18'!E8</f>
        <v>FY 2081-82</v>
      </c>
    </row>
    <row r="9" spans="1:4" ht="20" customHeight="1">
      <c r="B9" s="88" t="s">
        <v>528</v>
      </c>
      <c r="C9" s="89"/>
      <c r="D9" s="224">
        <v>0</v>
      </c>
    </row>
    <row r="10" spans="1:4" ht="20" customHeight="1">
      <c r="B10" s="88"/>
      <c r="C10" s="89"/>
      <c r="D10" s="89"/>
    </row>
    <row r="11" spans="1:4" ht="20" customHeight="1">
      <c r="B11" s="95"/>
      <c r="C11" s="266"/>
      <c r="D11" s="266"/>
    </row>
    <row r="12" spans="1:4" ht="20" customHeight="1" thickBot="1">
      <c r="B12" s="88"/>
      <c r="C12" s="267">
        <f>SUM(C10:C10)</f>
        <v>0</v>
      </c>
      <c r="D12" s="267">
        <f>SUM(D9:D10)</f>
        <v>0</v>
      </c>
    </row>
    <row r="13" spans="1:4" ht="20" customHeight="1" thickTop="1">
      <c r="B13" s="88"/>
      <c r="C13" s="268"/>
      <c r="D13" s="268"/>
    </row>
    <row r="14" spans="1:4" ht="20" customHeight="1">
      <c r="A14" s="285">
        <v>3.2</v>
      </c>
      <c r="B14" s="95" t="s">
        <v>529</v>
      </c>
      <c r="C14" s="96"/>
      <c r="D14" s="96"/>
    </row>
    <row r="15" spans="1:4" ht="20" customHeight="1">
      <c r="B15" s="95"/>
      <c r="C15" s="286" t="str">
        <f>C8</f>
        <v>Upto 18 Magh 2082</v>
      </c>
      <c r="D15" s="286" t="str">
        <f>D8</f>
        <v>FY 2081-82</v>
      </c>
    </row>
    <row r="16" spans="1:4" ht="20" customHeight="1">
      <c r="B16" s="88" t="s">
        <v>530</v>
      </c>
      <c r="C16" s="224">
        <f>'Tax Computation 10.18'!C16</f>
        <v>0</v>
      </c>
      <c r="D16" s="287">
        <f>'SOI 10.18'!D21</f>
        <v>0</v>
      </c>
    </row>
    <row r="17" spans="2:4" ht="20" customHeight="1">
      <c r="B17" s="88" t="s">
        <v>531</v>
      </c>
      <c r="C17" s="224">
        <v>0</v>
      </c>
      <c r="D17" s="287">
        <f>'SOI 10.18'!D22</f>
        <v>0</v>
      </c>
    </row>
    <row r="18" spans="2:4" ht="20" customHeight="1">
      <c r="B18" s="95"/>
      <c r="C18" s="276"/>
      <c r="D18" s="266"/>
    </row>
    <row r="19" spans="2:4" ht="20" customHeight="1" thickBot="1">
      <c r="B19" s="179"/>
      <c r="C19" s="277">
        <f>SUM(C16:C17)</f>
        <v>0</v>
      </c>
      <c r="D19" s="267">
        <f>SUM(D16:D17)</f>
        <v>0</v>
      </c>
    </row>
    <row r="20" spans="2:4" ht="20" customHeight="1" thickTop="1">
      <c r="B20" s="179"/>
      <c r="C20" s="179"/>
      <c r="D20" s="179"/>
    </row>
    <row r="21" spans="2:4" ht="20" customHeight="1">
      <c r="B21" s="186" t="s">
        <v>532</v>
      </c>
      <c r="C21" s="179"/>
      <c r="D21" s="179"/>
    </row>
    <row r="22" spans="2:4" ht="20" customHeight="1">
      <c r="B22" s="179"/>
      <c r="C22" s="286" t="str">
        <f>C15</f>
        <v>Upto 18 Magh 2082</v>
      </c>
      <c r="D22" s="286" t="str">
        <f>D15</f>
        <v>FY 2081-82</v>
      </c>
    </row>
    <row r="23" spans="2:4" ht="20" customHeight="1">
      <c r="B23" s="288" t="s">
        <v>533</v>
      </c>
      <c r="C23" s="289">
        <f>'Tax Computation 10.18'!C3</f>
        <v>-164485.25</v>
      </c>
      <c r="D23" s="289">
        <f>'SOI 10.18'!D19</f>
        <v>-177096</v>
      </c>
    </row>
    <row r="24" spans="2:4" ht="20" customHeight="1">
      <c r="B24" s="179" t="s">
        <v>534</v>
      </c>
      <c r="C24" s="290">
        <f>'Tax Computation 10.18'!C4</f>
        <v>130585.25</v>
      </c>
      <c r="D24" s="290">
        <f>'SOI 10.18'!D17</f>
        <v>147714</v>
      </c>
    </row>
    <row r="25" spans="2:4" ht="20" customHeight="1">
      <c r="B25" s="179" t="s">
        <v>535</v>
      </c>
      <c r="C25" s="290">
        <f>'Tax Computation 10.18'!C5</f>
        <v>0</v>
      </c>
      <c r="D25" s="290">
        <f>-D24</f>
        <v>-147714</v>
      </c>
    </row>
    <row r="26" spans="2:4" ht="20" customHeight="1">
      <c r="B26" s="179" t="s">
        <v>536</v>
      </c>
      <c r="C26" s="290">
        <f>'Tax Computation 10.18'!C6</f>
        <v>0</v>
      </c>
      <c r="D26" s="290">
        <f>-[5]Reco!F23</f>
        <v>0</v>
      </c>
    </row>
    <row r="27" spans="2:4" ht="20" customHeight="1">
      <c r="B27" s="179" t="s">
        <v>537</v>
      </c>
      <c r="C27" s="290">
        <f>'Tax Computation 10.18'!C7</f>
        <v>0</v>
      </c>
      <c r="D27" s="290">
        <f>-[5]Reco!F15</f>
        <v>0</v>
      </c>
    </row>
    <row r="28" spans="2:4" ht="20" customHeight="1">
      <c r="B28" s="179" t="s">
        <v>538</v>
      </c>
      <c r="C28" s="290">
        <f>'Tax Computation 10.18'!C8</f>
        <v>0</v>
      </c>
      <c r="D28" s="290">
        <f>-[5]Reco!F14</f>
        <v>0</v>
      </c>
    </row>
    <row r="29" spans="2:4" ht="20" customHeight="1">
      <c r="B29" s="179" t="s">
        <v>539</v>
      </c>
      <c r="C29" s="290">
        <f>'Tax Computation 10.18'!C9</f>
        <v>0</v>
      </c>
      <c r="D29" s="290">
        <f>-[5]Reco!F17</f>
        <v>0</v>
      </c>
    </row>
    <row r="30" spans="2:4" ht="20" customHeight="1">
      <c r="B30" s="179" t="s">
        <v>540</v>
      </c>
      <c r="C30" s="290">
        <f>'Tax Computation 10.18'!C10</f>
        <v>0</v>
      </c>
      <c r="D30" s="290">
        <f>-[5]Reco!F16</f>
        <v>0</v>
      </c>
    </row>
    <row r="31" spans="2:4" ht="20" customHeight="1">
      <c r="B31" s="179" t="s">
        <v>541</v>
      </c>
      <c r="C31" s="290">
        <f>'Tax Computation 10.18'!C11</f>
        <v>0</v>
      </c>
      <c r="D31" s="290">
        <f>-[5]Reco!F20</f>
        <v>0</v>
      </c>
    </row>
    <row r="32" spans="2:4" ht="20" customHeight="1">
      <c r="B32" s="179" t="s">
        <v>542</v>
      </c>
      <c r="C32" s="290">
        <f>'Tax Computation 10.18'!C12</f>
        <v>0</v>
      </c>
      <c r="D32" s="290">
        <f>-[5]Reco!F22</f>
        <v>0</v>
      </c>
    </row>
    <row r="33" spans="2:4" ht="20" customHeight="1">
      <c r="B33" s="179" t="s">
        <v>543</v>
      </c>
      <c r="C33" s="290">
        <f>'Tax Computation 10.18'!C13</f>
        <v>0</v>
      </c>
      <c r="D33" s="290">
        <f>-[5]Reco!F21</f>
        <v>0</v>
      </c>
    </row>
    <row r="34" spans="2:4" ht="20" customHeight="1">
      <c r="B34" s="179" t="s">
        <v>544</v>
      </c>
      <c r="C34" s="290">
        <v>0</v>
      </c>
      <c r="D34" s="290">
        <v>270000</v>
      </c>
    </row>
    <row r="35" spans="2:4" ht="20" customHeight="1">
      <c r="B35" s="291" t="s">
        <v>545</v>
      </c>
      <c r="C35" s="292">
        <f>'Tax Computation 10.18'!C14</f>
        <v>0</v>
      </c>
      <c r="D35" s="292">
        <v>0</v>
      </c>
    </row>
    <row r="36" spans="2:4" ht="20" customHeight="1">
      <c r="B36" s="293" t="s">
        <v>546</v>
      </c>
      <c r="C36" s="294">
        <f>SUM(C23:C35)</f>
        <v>-33900</v>
      </c>
      <c r="D36" s="294">
        <f>SUM(D23:D35)</f>
        <v>92904</v>
      </c>
    </row>
    <row r="37" spans="2:4" ht="20" customHeight="1" thickBot="1">
      <c r="B37" s="295" t="s">
        <v>547</v>
      </c>
      <c r="C37" s="296">
        <f>C36*25%</f>
        <v>-8475</v>
      </c>
      <c r="D37" s="296">
        <f>D36*25%</f>
        <v>23226</v>
      </c>
    </row>
  </sheetData>
  <mergeCells count="2">
    <mergeCell ref="A1:D1"/>
    <mergeCell ref="A3:D3"/>
  </mergeCells>
  <pageMargins left="0.7" right="0.7" top="0.75" bottom="0.75" header="0.3" footer="0.3"/>
  <pageSetup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AF3B-6D3A-412C-B180-9CBB3796064A}">
  <sheetPr>
    <tabColor rgb="FFFF0000"/>
  </sheetPr>
  <dimension ref="A1:A31"/>
  <sheetViews>
    <sheetView showGridLines="0" view="pageBreakPreview" zoomScaleNormal="140" zoomScaleSheetLayoutView="100" workbookViewId="0">
      <selection activeCell="J11" sqref="J11"/>
    </sheetView>
  </sheetViews>
  <sheetFormatPr defaultColWidth="10.81640625" defaultRowHeight="12.5"/>
  <cols>
    <col min="1" max="1" width="103.81640625" style="179" customWidth="1"/>
    <col min="2" max="16384" width="10.81640625" style="179"/>
  </cols>
  <sheetData>
    <row r="1" spans="1:1" ht="17.5">
      <c r="A1" s="178" t="str">
        <f>'[5]3.3'!A1:E1</f>
        <v>CELER MART PVT. LTD.</v>
      </c>
    </row>
    <row r="2" spans="1:1" ht="13.5">
      <c r="A2" s="180"/>
    </row>
    <row r="3" spans="1:1" ht="14">
      <c r="A3" s="181" t="s">
        <v>337</v>
      </c>
    </row>
    <row r="4" spans="1:1" ht="13.5">
      <c r="A4" s="180"/>
    </row>
    <row r="5" spans="1:1" ht="13" thickBot="1">
      <c r="A5" s="182" t="s">
        <v>276</v>
      </c>
    </row>
    <row r="7" spans="1:1">
      <c r="A7" s="186" t="s">
        <v>548</v>
      </c>
    </row>
    <row r="8" spans="1:1" ht="50">
      <c r="A8" s="297" t="s">
        <v>549</v>
      </c>
    </row>
    <row r="9" spans="1:1">
      <c r="A9" s="297"/>
    </row>
    <row r="10" spans="1:1">
      <c r="A10" s="186" t="s">
        <v>550</v>
      </c>
    </row>
    <row r="11" spans="1:1" ht="25">
      <c r="A11" s="297" t="s">
        <v>551</v>
      </c>
    </row>
    <row r="12" spans="1:1">
      <c r="A12" s="297"/>
    </row>
    <row r="13" spans="1:1">
      <c r="A13" s="186" t="s">
        <v>552</v>
      </c>
    </row>
    <row r="14" spans="1:1">
      <c r="A14" s="186" t="s">
        <v>553</v>
      </c>
    </row>
    <row r="15" spans="1:1" ht="37.5">
      <c r="A15" s="297" t="s">
        <v>554</v>
      </c>
    </row>
    <row r="16" spans="1:1">
      <c r="A16" s="179" t="s">
        <v>555</v>
      </c>
    </row>
    <row r="17" spans="1:1" ht="37.5">
      <c r="A17" s="297" t="s">
        <v>556</v>
      </c>
    </row>
    <row r="18" spans="1:1" ht="25">
      <c r="A18" s="297" t="s">
        <v>557</v>
      </c>
    </row>
    <row r="19" spans="1:1">
      <c r="A19" s="297" t="s">
        <v>558</v>
      </c>
    </row>
    <row r="20" spans="1:1" ht="50">
      <c r="A20" s="297" t="s">
        <v>559</v>
      </c>
    </row>
    <row r="21" spans="1:1">
      <c r="A21" s="297"/>
    </row>
    <row r="22" spans="1:1">
      <c r="A22" s="298" t="s">
        <v>560</v>
      </c>
    </row>
    <row r="23" spans="1:1" ht="50">
      <c r="A23" s="297" t="s">
        <v>561</v>
      </c>
    </row>
    <row r="24" spans="1:1" ht="37.5">
      <c r="A24" s="297" t="s">
        <v>562</v>
      </c>
    </row>
    <row r="25" spans="1:1">
      <c r="A25" s="297"/>
    </row>
    <row r="26" spans="1:1">
      <c r="A26" s="298" t="s">
        <v>563</v>
      </c>
    </row>
    <row r="27" spans="1:1" ht="62.5">
      <c r="A27" s="297" t="s">
        <v>564</v>
      </c>
    </row>
    <row r="28" spans="1:1">
      <c r="A28" s="297"/>
    </row>
    <row r="29" spans="1:1">
      <c r="A29" s="297"/>
    </row>
    <row r="30" spans="1:1">
      <c r="A30" s="297"/>
    </row>
    <row r="31" spans="1:1">
      <c r="A31" s="297"/>
    </row>
  </sheetData>
  <pageMargins left="0.7" right="0.7" top="0.75" bottom="0.75" header="0.3" footer="0.3"/>
  <pageSetup scale="9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56816-598C-4E32-BAEB-1B5C05D5B9A1}">
  <sheetPr>
    <tabColor rgb="FFFF0000"/>
  </sheetPr>
  <dimension ref="A1:A127"/>
  <sheetViews>
    <sheetView showGridLines="0" view="pageBreakPreview" zoomScaleNormal="140" zoomScaleSheetLayoutView="100" workbookViewId="0">
      <selection activeCell="J11" sqref="J11"/>
    </sheetView>
  </sheetViews>
  <sheetFormatPr defaultColWidth="10.81640625" defaultRowHeight="12.5"/>
  <cols>
    <col min="1" max="1" width="101.1796875" style="179" customWidth="1"/>
    <col min="2" max="16384" width="10.81640625" style="179"/>
  </cols>
  <sheetData>
    <row r="1" spans="1:1" ht="17.5">
      <c r="A1" s="178" t="str">
        <f>'[5]3.3'!A1:E1</f>
        <v>CELER MART PVT. LTD.</v>
      </c>
    </row>
    <row r="2" spans="1:1" ht="13.5">
      <c r="A2" s="180"/>
    </row>
    <row r="3" spans="1:1" ht="14">
      <c r="A3" s="181" t="s">
        <v>337</v>
      </c>
    </row>
    <row r="4" spans="1:1" ht="20" customHeight="1">
      <c r="A4" s="180"/>
    </row>
    <row r="5" spans="1:1" ht="20" customHeight="1" thickBot="1">
      <c r="A5" s="182" t="s">
        <v>276</v>
      </c>
    </row>
    <row r="6" spans="1:1" ht="20" customHeight="1"/>
    <row r="7" spans="1:1" ht="20" customHeight="1">
      <c r="A7" s="183" t="s">
        <v>338</v>
      </c>
    </row>
    <row r="8" spans="1:1" ht="20" customHeight="1"/>
    <row r="9" spans="1:1" ht="20" customHeight="1">
      <c r="A9" s="184" t="s">
        <v>339</v>
      </c>
    </row>
    <row r="10" spans="1:1" ht="20" customHeight="1">
      <c r="A10" s="185" t="s">
        <v>340</v>
      </c>
    </row>
    <row r="11" spans="1:1" ht="20" customHeight="1">
      <c r="A11" s="179" t="s">
        <v>341</v>
      </c>
    </row>
    <row r="12" spans="1:1" ht="20" customHeight="1"/>
    <row r="13" spans="1:1" ht="20" customHeight="1">
      <c r="A13" s="186" t="s">
        <v>342</v>
      </c>
    </row>
    <row r="14" spans="1:1" ht="20" customHeight="1">
      <c r="A14" s="184" t="s">
        <v>343</v>
      </c>
    </row>
    <row r="15" spans="1:1" ht="20" customHeight="1">
      <c r="A15" s="187" t="s">
        <v>344</v>
      </c>
    </row>
    <row r="16" spans="1:1" ht="30" customHeight="1">
      <c r="A16" s="185" t="s">
        <v>345</v>
      </c>
    </row>
    <row r="17" spans="1:1" ht="20" customHeight="1">
      <c r="A17" s="187" t="s">
        <v>346</v>
      </c>
    </row>
    <row r="18" spans="1:1" ht="25" customHeight="1">
      <c r="A18" s="185" t="s">
        <v>347</v>
      </c>
    </row>
    <row r="19" spans="1:1" ht="20" customHeight="1">
      <c r="A19" s="187" t="s">
        <v>348</v>
      </c>
    </row>
    <row r="20" spans="1:1" ht="25" customHeight="1">
      <c r="A20" s="185" t="s">
        <v>349</v>
      </c>
    </row>
    <row r="21" spans="1:1" ht="20" customHeight="1">
      <c r="A21" s="185"/>
    </row>
    <row r="22" spans="1:1" ht="20" customHeight="1">
      <c r="A22" s="187" t="s">
        <v>350</v>
      </c>
    </row>
    <row r="23" spans="1:1" ht="50" customHeight="1">
      <c r="A23" s="185" t="s">
        <v>351</v>
      </c>
    </row>
    <row r="24" spans="1:1" ht="20" customHeight="1">
      <c r="A24" s="185"/>
    </row>
    <row r="25" spans="1:1" ht="20" customHeight="1">
      <c r="A25" s="187" t="s">
        <v>352</v>
      </c>
    </row>
    <row r="26" spans="1:1" ht="30" customHeight="1">
      <c r="A26" s="185" t="s">
        <v>353</v>
      </c>
    </row>
    <row r="27" spans="1:1" ht="20" customHeight="1">
      <c r="A27" s="185"/>
    </row>
    <row r="28" spans="1:1" ht="20" customHeight="1">
      <c r="A28" s="187" t="s">
        <v>354</v>
      </c>
    </row>
    <row r="29" spans="1:1" ht="35" customHeight="1">
      <c r="A29" s="185" t="s">
        <v>355</v>
      </c>
    </row>
    <row r="30" spans="1:1" ht="35" customHeight="1">
      <c r="A30" s="185" t="s">
        <v>356</v>
      </c>
    </row>
    <row r="31" spans="1:1" ht="20" customHeight="1">
      <c r="A31" s="185"/>
    </row>
    <row r="32" spans="1:1" ht="20" customHeight="1">
      <c r="A32" s="187" t="s">
        <v>357</v>
      </c>
    </row>
    <row r="33" spans="1:1" ht="65" customHeight="1">
      <c r="A33" s="185" t="s">
        <v>358</v>
      </c>
    </row>
    <row r="34" spans="1:1" ht="20" customHeight="1">
      <c r="A34" s="185"/>
    </row>
    <row r="35" spans="1:1" ht="20" customHeight="1">
      <c r="A35" s="187" t="s">
        <v>359</v>
      </c>
    </row>
    <row r="36" spans="1:1" ht="40" customHeight="1">
      <c r="A36" s="185" t="s">
        <v>360</v>
      </c>
    </row>
    <row r="37" spans="1:1" ht="20" customHeight="1">
      <c r="A37" s="185"/>
    </row>
    <row r="38" spans="1:1" ht="20" customHeight="1">
      <c r="A38" s="187" t="s">
        <v>361</v>
      </c>
    </row>
    <row r="39" spans="1:1" ht="35" customHeight="1">
      <c r="A39" s="185" t="s">
        <v>362</v>
      </c>
    </row>
    <row r="40" spans="1:1" ht="35" customHeight="1">
      <c r="A40" s="185" t="s">
        <v>363</v>
      </c>
    </row>
    <row r="41" spans="1:1" ht="20" customHeight="1">
      <c r="A41" s="185"/>
    </row>
    <row r="42" spans="1:1" ht="20" customHeight="1">
      <c r="A42" s="187" t="s">
        <v>364</v>
      </c>
    </row>
    <row r="43" spans="1:1" ht="35" customHeight="1">
      <c r="A43" s="185" t="s">
        <v>365</v>
      </c>
    </row>
    <row r="44" spans="1:1" ht="35" customHeight="1">
      <c r="A44" s="185"/>
    </row>
    <row r="45" spans="1:1" ht="35" customHeight="1">
      <c r="A45" s="187" t="s">
        <v>366</v>
      </c>
    </row>
    <row r="46" spans="1:1" ht="35" customHeight="1">
      <c r="A46" s="187" t="s">
        <v>367</v>
      </c>
    </row>
    <row r="47" spans="1:1" ht="35" customHeight="1">
      <c r="A47" s="185" t="s">
        <v>368</v>
      </c>
    </row>
    <row r="48" spans="1:1" ht="35" customHeight="1">
      <c r="A48" s="187" t="s">
        <v>369</v>
      </c>
    </row>
    <row r="49" spans="1:1" ht="35" customHeight="1">
      <c r="A49" s="185" t="s">
        <v>370</v>
      </c>
    </row>
    <row r="50" spans="1:1" ht="20" customHeight="1">
      <c r="A50" s="185"/>
    </row>
    <row r="51" spans="1:1" ht="20" customHeight="1">
      <c r="A51" s="187" t="s">
        <v>371</v>
      </c>
    </row>
    <row r="52" spans="1:1" ht="35" customHeight="1">
      <c r="A52" s="185" t="s">
        <v>372</v>
      </c>
    </row>
    <row r="53" spans="1:1" ht="35" customHeight="1">
      <c r="A53" s="187" t="s">
        <v>373</v>
      </c>
    </row>
    <row r="54" spans="1:1" ht="35" customHeight="1">
      <c r="A54" s="185" t="s">
        <v>374</v>
      </c>
    </row>
    <row r="55" spans="1:1" ht="35" customHeight="1">
      <c r="A55" s="185" t="s">
        <v>375</v>
      </c>
    </row>
    <row r="56" spans="1:1" ht="35" customHeight="1">
      <c r="A56" s="185"/>
    </row>
    <row r="57" spans="1:1" ht="35" customHeight="1">
      <c r="A57" s="187" t="s">
        <v>376</v>
      </c>
    </row>
    <row r="58" spans="1:1" ht="35" customHeight="1">
      <c r="A58" s="185" t="s">
        <v>377</v>
      </c>
    </row>
    <row r="59" spans="1:1" ht="35" customHeight="1">
      <c r="A59" s="187" t="s">
        <v>378</v>
      </c>
    </row>
    <row r="60" spans="1:1" ht="35" customHeight="1">
      <c r="A60" s="185" t="s">
        <v>379</v>
      </c>
    </row>
    <row r="61" spans="1:1" ht="60" customHeight="1">
      <c r="A61" s="185" t="s">
        <v>380</v>
      </c>
    </row>
    <row r="62" spans="1:1" ht="35" customHeight="1">
      <c r="A62" s="187" t="s">
        <v>381</v>
      </c>
    </row>
    <row r="63" spans="1:1" ht="35" customHeight="1">
      <c r="A63" s="185" t="s">
        <v>382</v>
      </c>
    </row>
    <row r="64" spans="1:1" ht="35" customHeight="1">
      <c r="A64" s="185"/>
    </row>
    <row r="65" spans="1:1" ht="20" customHeight="1">
      <c r="A65" s="187" t="s">
        <v>383</v>
      </c>
    </row>
    <row r="66" spans="1:1" ht="20" customHeight="1">
      <c r="A66" s="187" t="s">
        <v>384</v>
      </c>
    </row>
    <row r="67" spans="1:1" ht="40" customHeight="1">
      <c r="A67" s="185" t="s">
        <v>385</v>
      </c>
    </row>
    <row r="68" spans="1:1" ht="35" customHeight="1">
      <c r="A68" s="187" t="s">
        <v>386</v>
      </c>
    </row>
    <row r="69" spans="1:1" ht="50" customHeight="1">
      <c r="A69" s="185" t="s">
        <v>387</v>
      </c>
    </row>
    <row r="70" spans="1:1" ht="20" customHeight="1">
      <c r="A70" s="185"/>
    </row>
    <row r="71" spans="1:1" ht="20" customHeight="1">
      <c r="A71" s="187" t="s">
        <v>388</v>
      </c>
    </row>
    <row r="72" spans="1:1" ht="50" customHeight="1">
      <c r="A72" s="185" t="s">
        <v>389</v>
      </c>
    </row>
    <row r="73" spans="1:1" ht="50" customHeight="1">
      <c r="A73" s="185" t="s">
        <v>390</v>
      </c>
    </row>
    <row r="74" spans="1:1" ht="20" customHeight="1">
      <c r="A74" s="185"/>
    </row>
    <row r="75" spans="1:1" ht="20" customHeight="1">
      <c r="A75" s="187" t="s">
        <v>391</v>
      </c>
    </row>
    <row r="76" spans="1:1" ht="70" customHeight="1">
      <c r="A76" s="185" t="s">
        <v>392</v>
      </c>
    </row>
    <row r="77" spans="1:1" ht="20" customHeight="1">
      <c r="A77" s="185"/>
    </row>
    <row r="78" spans="1:1" ht="20" customHeight="1">
      <c r="A78" s="187" t="s">
        <v>393</v>
      </c>
    </row>
    <row r="79" spans="1:1" ht="20" customHeight="1">
      <c r="A79" s="185" t="s">
        <v>394</v>
      </c>
    </row>
    <row r="80" spans="1:1" ht="20" customHeight="1">
      <c r="A80" s="185"/>
    </row>
    <row r="81" spans="1:1" ht="20" customHeight="1">
      <c r="A81" s="187" t="s">
        <v>395</v>
      </c>
    </row>
    <row r="82" spans="1:1" ht="35" customHeight="1">
      <c r="A82" s="185" t="s">
        <v>396</v>
      </c>
    </row>
    <row r="83" spans="1:1" ht="20" customHeight="1">
      <c r="A83" s="185"/>
    </row>
    <row r="84" spans="1:1" ht="20" customHeight="1">
      <c r="A84" s="187" t="s">
        <v>397</v>
      </c>
    </row>
    <row r="85" spans="1:1" ht="20" customHeight="1">
      <c r="A85" s="187" t="s">
        <v>398</v>
      </c>
    </row>
    <row r="86" spans="1:1" ht="40" customHeight="1">
      <c r="A86" s="185" t="s">
        <v>399</v>
      </c>
    </row>
    <row r="87" spans="1:1" ht="20" customHeight="1">
      <c r="A87" s="187" t="s">
        <v>400</v>
      </c>
    </row>
    <row r="88" spans="1:1" ht="20" customHeight="1">
      <c r="A88" s="185" t="s">
        <v>401</v>
      </c>
    </row>
    <row r="89" spans="1:1" ht="20" customHeight="1">
      <c r="A89" s="187" t="s">
        <v>402</v>
      </c>
    </row>
    <row r="90" spans="1:1" ht="20" customHeight="1">
      <c r="A90" s="185" t="s">
        <v>403</v>
      </c>
    </row>
    <row r="91" spans="1:1" ht="20" customHeight="1">
      <c r="A91" s="185"/>
    </row>
    <row r="92" spans="1:1" ht="20" customHeight="1">
      <c r="A92" s="187" t="s">
        <v>404</v>
      </c>
    </row>
    <row r="93" spans="1:1" ht="20" customHeight="1">
      <c r="A93" s="187" t="s">
        <v>405</v>
      </c>
    </row>
    <row r="94" spans="1:1" ht="40" customHeight="1">
      <c r="A94" s="185" t="s">
        <v>406</v>
      </c>
    </row>
    <row r="95" spans="1:1" ht="20" customHeight="1">
      <c r="A95" s="187" t="s">
        <v>407</v>
      </c>
    </row>
    <row r="96" spans="1:1" ht="20" customHeight="1">
      <c r="A96" s="185" t="s">
        <v>408</v>
      </c>
    </row>
    <row r="97" spans="1:1">
      <c r="A97" s="185"/>
    </row>
    <row r="98" spans="1:1" s="186" customFormat="1">
      <c r="A98" s="185"/>
    </row>
    <row r="99" spans="1:1">
      <c r="A99" s="184"/>
    </row>
    <row r="100" spans="1:1">
      <c r="A100" s="185"/>
    </row>
    <row r="102" spans="1:1">
      <c r="A102" s="184"/>
    </row>
    <row r="103" spans="1:1">
      <c r="A103" s="188"/>
    </row>
    <row r="105" spans="1:1">
      <c r="A105" s="185"/>
    </row>
    <row r="106" spans="1:1">
      <c r="A106" s="184"/>
    </row>
    <row r="107" spans="1:1">
      <c r="A107" s="185"/>
    </row>
    <row r="108" spans="1:1">
      <c r="A108" s="185"/>
    </row>
    <row r="109" spans="1:1">
      <c r="A109" s="184"/>
    </row>
    <row r="110" spans="1:1">
      <c r="A110" s="185"/>
    </row>
    <row r="111" spans="1:1">
      <c r="A111" s="185"/>
    </row>
    <row r="112" spans="1:1">
      <c r="A112" s="184"/>
    </row>
    <row r="113" spans="1:1">
      <c r="A113" s="185"/>
    </row>
    <row r="114" spans="1:1">
      <c r="A114" s="185"/>
    </row>
    <row r="115" spans="1:1">
      <c r="A115" s="184"/>
    </row>
    <row r="116" spans="1:1">
      <c r="A116" s="185"/>
    </row>
    <row r="117" spans="1:1">
      <c r="A117" s="185"/>
    </row>
    <row r="118" spans="1:1">
      <c r="A118" s="185"/>
    </row>
    <row r="119" spans="1:1">
      <c r="A119" s="184"/>
    </row>
    <row r="120" spans="1:1">
      <c r="A120" s="185"/>
    </row>
    <row r="121" spans="1:1">
      <c r="A121" s="185"/>
    </row>
    <row r="122" spans="1:1">
      <c r="A122" s="184"/>
    </row>
    <row r="123" spans="1:1">
      <c r="A123" s="184"/>
    </row>
    <row r="124" spans="1:1">
      <c r="A124" s="185"/>
    </row>
    <row r="125" spans="1:1">
      <c r="A125" s="185"/>
    </row>
    <row r="126" spans="1:1">
      <c r="A126" s="184"/>
    </row>
    <row r="127" spans="1:1">
      <c r="A127" s="185"/>
    </row>
  </sheetData>
  <pageMargins left="0.7" right="0.7" top="0.75" bottom="0.75" header="0.3" footer="0.3"/>
  <pageSetup scale="89" orientation="portrait" r:id="rId1"/>
  <rowBreaks count="3" manualBreakCount="3">
    <brk id="31" max="16383" man="1"/>
    <brk id="41" max="16383" man="1"/>
    <brk id="6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DE58-2F09-48E1-A097-D94ADD7FA35C}">
  <sheetPr>
    <tabColor rgb="FFFF0000"/>
  </sheetPr>
  <dimension ref="A1:E25"/>
  <sheetViews>
    <sheetView showGridLines="0" view="pageBreakPreview" zoomScale="92" zoomScaleNormal="100" zoomScaleSheetLayoutView="92" workbookViewId="0">
      <selection activeCell="J11" sqref="J11"/>
    </sheetView>
  </sheetViews>
  <sheetFormatPr defaultColWidth="8.81640625" defaultRowHeight="13.5"/>
  <cols>
    <col min="1" max="1" width="36.6328125" style="180" bestFit="1" customWidth="1"/>
    <col min="2" max="2" width="8.81640625" style="180"/>
    <col min="3" max="3" width="14.81640625" style="180" bestFit="1" customWidth="1"/>
    <col min="4" max="16384" width="8.81640625" style="180"/>
  </cols>
  <sheetData>
    <row r="1" spans="1:5" ht="20" customHeight="1">
      <c r="A1" s="330" t="s">
        <v>565</v>
      </c>
      <c r="B1" s="330"/>
      <c r="C1" s="330"/>
      <c r="D1" s="330"/>
      <c r="E1" s="330"/>
    </row>
    <row r="2" spans="1:5" ht="20" customHeight="1"/>
    <row r="3" spans="1:5" ht="20" customHeight="1">
      <c r="A3" s="299" t="s">
        <v>533</v>
      </c>
      <c r="B3" s="299"/>
      <c r="C3" s="300">
        <f>'SOI 10.18'!C19</f>
        <v>-164485.25</v>
      </c>
    </row>
    <row r="4" spans="1:5" ht="20" customHeight="1">
      <c r="A4" s="180" t="s">
        <v>534</v>
      </c>
      <c r="C4" s="241">
        <f>'SOI 10.18'!C17</f>
        <v>130585.25</v>
      </c>
    </row>
    <row r="5" spans="1:5" ht="20" customHeight="1">
      <c r="A5" s="180" t="s">
        <v>535</v>
      </c>
      <c r="C5" s="241">
        <v>0</v>
      </c>
    </row>
    <row r="6" spans="1:5" ht="20" customHeight="1">
      <c r="A6" s="180" t="s">
        <v>536</v>
      </c>
      <c r="C6" s="241"/>
    </row>
    <row r="7" spans="1:5" ht="20" customHeight="1">
      <c r="A7" s="180" t="s">
        <v>537</v>
      </c>
      <c r="C7" s="241"/>
    </row>
    <row r="8" spans="1:5" ht="20" customHeight="1">
      <c r="A8" s="180" t="s">
        <v>538</v>
      </c>
      <c r="C8" s="241"/>
    </row>
    <row r="9" spans="1:5" ht="20" customHeight="1">
      <c r="A9" s="180" t="s">
        <v>539</v>
      </c>
      <c r="C9" s="241"/>
    </row>
    <row r="10" spans="1:5" ht="20" customHeight="1">
      <c r="A10" s="180" t="s">
        <v>540</v>
      </c>
      <c r="C10" s="241"/>
    </row>
    <row r="11" spans="1:5" ht="20" customHeight="1">
      <c r="A11" s="180" t="s">
        <v>541</v>
      </c>
      <c r="C11" s="241"/>
    </row>
    <row r="12" spans="1:5" ht="20" customHeight="1">
      <c r="A12" s="180" t="s">
        <v>566</v>
      </c>
      <c r="C12" s="241"/>
    </row>
    <row r="13" spans="1:5" ht="20" customHeight="1">
      <c r="A13" s="180" t="s">
        <v>567</v>
      </c>
      <c r="C13" s="241"/>
    </row>
    <row r="14" spans="1:5" ht="20" customHeight="1">
      <c r="A14" s="301" t="s">
        <v>545</v>
      </c>
      <c r="B14" s="301"/>
      <c r="C14" s="302"/>
    </row>
    <row r="15" spans="1:5" ht="20" customHeight="1">
      <c r="A15" s="303" t="s">
        <v>546</v>
      </c>
      <c r="B15" s="303"/>
      <c r="C15" s="304">
        <f>SUM(C3:C14)</f>
        <v>-33900</v>
      </c>
    </row>
    <row r="16" spans="1:5" ht="20" customHeight="1" thickBot="1">
      <c r="A16" s="305" t="s">
        <v>547</v>
      </c>
      <c r="B16" s="305"/>
      <c r="C16" s="306">
        <v>0</v>
      </c>
    </row>
    <row r="17" spans="3:3">
      <c r="C17" s="241"/>
    </row>
    <row r="18" spans="3:3">
      <c r="C18" s="241"/>
    </row>
    <row r="19" spans="3:3">
      <c r="C19" s="241"/>
    </row>
    <row r="20" spans="3:3">
      <c r="C20" s="241"/>
    </row>
    <row r="21" spans="3:3">
      <c r="C21" s="241"/>
    </row>
    <row r="22" spans="3:3">
      <c r="C22" s="241"/>
    </row>
    <row r="23" spans="3:3">
      <c r="C23" s="241"/>
    </row>
    <row r="24" spans="3:3">
      <c r="C24" s="241"/>
    </row>
    <row r="25" spans="3:3">
      <c r="C25" s="241"/>
    </row>
  </sheetData>
  <mergeCells count="1">
    <mergeCell ref="A1:E1"/>
  </mergeCells>
  <pageMargins left="0.7" right="0.7" top="0.75" bottom="0.75" header="0.3" footer="0.3"/>
  <pageSetup paperSize="9" scale="13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21C27-E1D9-4156-9A53-896CB208802E}">
  <sheetPr>
    <tabColor rgb="FF00B050"/>
  </sheetPr>
  <dimension ref="A1:L51"/>
  <sheetViews>
    <sheetView showGridLines="0" view="pageBreakPreview" topLeftCell="A32" zoomScale="120" zoomScaleNormal="120" zoomScaleSheetLayoutView="120" workbookViewId="0">
      <selection activeCell="D49" sqref="D49"/>
    </sheetView>
  </sheetViews>
  <sheetFormatPr defaultColWidth="8.6328125" defaultRowHeight="13.5"/>
  <cols>
    <col min="1" max="1" width="35.6328125" style="83" customWidth="1"/>
    <col min="2" max="2" width="6.6328125" style="118" customWidth="1"/>
    <col min="3" max="3" width="15.81640625" style="118" customWidth="1"/>
    <col min="4" max="4" width="19.81640625" style="118" customWidth="1"/>
    <col min="5" max="5" width="17.453125" style="83" hidden="1" customWidth="1"/>
    <col min="6" max="6" width="20.6328125" style="83" hidden="1" customWidth="1"/>
    <col min="7" max="7" width="12.453125" style="83" bestFit="1" customWidth="1"/>
    <col min="8" max="8" width="15" style="84" hidden="1" customWidth="1"/>
    <col min="9" max="9" width="15.81640625" style="84" bestFit="1" customWidth="1"/>
    <col min="10" max="10" width="14.7265625" style="83" bestFit="1" customWidth="1"/>
    <col min="11" max="11" width="12.6328125" style="83" bestFit="1" customWidth="1"/>
    <col min="12" max="12" width="12" style="83" bestFit="1" customWidth="1"/>
    <col min="13" max="16384" width="8.6328125" style="83"/>
  </cols>
  <sheetData>
    <row r="1" spans="1:12" ht="17.5">
      <c r="A1" s="322" t="s">
        <v>571</v>
      </c>
      <c r="B1" s="322"/>
      <c r="C1" s="322"/>
      <c r="D1" s="322"/>
      <c r="E1" s="322"/>
      <c r="F1" s="82"/>
    </row>
    <row r="2" spans="1:12" s="86" customFormat="1" ht="14">
      <c r="A2" s="323" t="s">
        <v>237</v>
      </c>
      <c r="B2" s="323"/>
      <c r="C2" s="323"/>
      <c r="D2" s="323"/>
      <c r="E2" s="323"/>
      <c r="F2" s="85"/>
      <c r="H2" s="87"/>
      <c r="I2" s="87"/>
    </row>
    <row r="3" spans="1:12" s="86" customFormat="1" ht="14">
      <c r="A3" s="323" t="s">
        <v>590</v>
      </c>
      <c r="B3" s="323"/>
      <c r="C3" s="323"/>
      <c r="D3" s="323"/>
      <c r="E3" s="323"/>
      <c r="F3" s="85"/>
      <c r="H3" s="87"/>
      <c r="I3" s="87"/>
    </row>
    <row r="4" spans="1:12">
      <c r="A4" s="88"/>
      <c r="B4" s="89"/>
      <c r="C4" s="89"/>
      <c r="D4" s="89"/>
      <c r="E4" s="90"/>
      <c r="F4" s="90" t="s">
        <v>238</v>
      </c>
    </row>
    <row r="5" spans="1:12" ht="20" customHeight="1">
      <c r="A5" s="88"/>
      <c r="B5" s="89"/>
      <c r="C5" s="89" t="s">
        <v>584</v>
      </c>
      <c r="D5" s="91" t="s">
        <v>239</v>
      </c>
      <c r="E5" s="91" t="s">
        <v>239</v>
      </c>
      <c r="F5" s="91" t="s">
        <v>239</v>
      </c>
    </row>
    <row r="6" spans="1:12" s="86" customFormat="1" ht="20" customHeight="1" thickBot="1">
      <c r="A6" s="92"/>
      <c r="B6" s="93" t="s">
        <v>240</v>
      </c>
      <c r="C6" s="93" t="s">
        <v>589</v>
      </c>
      <c r="D6" s="94" t="s">
        <v>585</v>
      </c>
      <c r="E6" s="94" t="s">
        <v>241</v>
      </c>
      <c r="F6" s="94" t="s">
        <v>242</v>
      </c>
      <c r="H6" s="87"/>
      <c r="I6" s="87"/>
    </row>
    <row r="7" spans="1:12" ht="14.5" customHeight="1">
      <c r="A7" s="95" t="s">
        <v>243</v>
      </c>
      <c r="B7" s="89"/>
      <c r="C7" s="89"/>
      <c r="D7" s="89"/>
      <c r="E7" s="89"/>
      <c r="F7" s="96"/>
    </row>
    <row r="8" spans="1:12" s="86" customFormat="1" ht="14.5" customHeight="1">
      <c r="A8" s="95" t="s">
        <v>244</v>
      </c>
      <c r="B8" s="96"/>
      <c r="C8" s="96"/>
      <c r="D8" s="96"/>
      <c r="E8" s="96"/>
      <c r="F8" s="96"/>
      <c r="H8" s="87"/>
      <c r="I8" s="87"/>
    </row>
    <row r="9" spans="1:12" ht="14.5" customHeight="1">
      <c r="A9" s="97" t="s">
        <v>245</v>
      </c>
      <c r="B9" s="89">
        <v>3.1</v>
      </c>
      <c r="C9" s="98">
        <f>'3.1 03.15'!I52</f>
        <v>473888.75</v>
      </c>
      <c r="D9" s="98">
        <f>'3.1 10.18'!I44</f>
        <v>473888.75</v>
      </c>
      <c r="E9" s="98">
        <f>'3.1 10.18'!I42</f>
        <v>604474</v>
      </c>
      <c r="F9" s="98">
        <v>0</v>
      </c>
      <c r="H9" s="84">
        <f>+E9+E11</f>
        <v>604474</v>
      </c>
      <c r="I9" s="84">
        <f>+C9+C11</f>
        <v>473888.75</v>
      </c>
      <c r="K9" s="99"/>
      <c r="L9" s="100"/>
    </row>
    <row r="10" spans="1:12" ht="14.5" customHeight="1">
      <c r="A10" s="97" t="s">
        <v>246</v>
      </c>
      <c r="B10" s="89">
        <v>3.1</v>
      </c>
      <c r="C10" s="98">
        <f>'3.1 03.15'!C76</f>
        <v>17094931.352020204</v>
      </c>
      <c r="D10" s="98">
        <f>'3.1 10.18'!C70</f>
        <v>15814476.15</v>
      </c>
      <c r="E10" s="98">
        <f>'3.1 10.18'!F70</f>
        <v>12985641.15</v>
      </c>
      <c r="F10" s="98">
        <f>'3.1 10.18'!G50</f>
        <v>12985641.15</v>
      </c>
      <c r="K10" s="99"/>
      <c r="L10" s="100"/>
    </row>
    <row r="11" spans="1:12" ht="14.5" customHeight="1">
      <c r="A11" s="97" t="s">
        <v>247</v>
      </c>
      <c r="B11" s="89">
        <v>3.2</v>
      </c>
      <c r="C11" s="98">
        <f>'[5]3.2'!E43</f>
        <v>0</v>
      </c>
      <c r="D11" s="98">
        <f>'[5]3.2'!F43</f>
        <v>0</v>
      </c>
      <c r="E11" s="98">
        <f>'[5]3.2'!E41</f>
        <v>0</v>
      </c>
      <c r="F11" s="98">
        <f>'[5]3.2'!E39</f>
        <v>0</v>
      </c>
      <c r="G11" s="100"/>
      <c r="H11" s="84">
        <v>821236.13</v>
      </c>
      <c r="I11" s="84">
        <f>+'SOI 10.18'!C17</f>
        <v>130585.25</v>
      </c>
      <c r="K11" s="99"/>
      <c r="L11" s="100"/>
    </row>
    <row r="12" spans="1:12" ht="14.5" customHeight="1">
      <c r="A12" s="97" t="s">
        <v>248</v>
      </c>
      <c r="B12" s="89">
        <v>3.3</v>
      </c>
      <c r="C12" s="98">
        <f>'[5]3.3'!C34</f>
        <v>0</v>
      </c>
      <c r="D12" s="98">
        <f>'[5]3.3'!D34</f>
        <v>0</v>
      </c>
      <c r="E12" s="98">
        <f>'[5]3.3'!D34</f>
        <v>0</v>
      </c>
      <c r="F12" s="98">
        <f>'[5]3.3'!E34</f>
        <v>0</v>
      </c>
      <c r="H12" s="84">
        <f>+H9-H11</f>
        <v>-216762.13</v>
      </c>
      <c r="I12" s="84">
        <f>SUM(I9:I11)</f>
        <v>604474</v>
      </c>
      <c r="K12" s="100"/>
      <c r="L12" s="100"/>
    </row>
    <row r="13" spans="1:12" ht="14.5" customHeight="1">
      <c r="A13" s="97" t="s">
        <v>249</v>
      </c>
      <c r="B13" s="89">
        <v>3.4</v>
      </c>
      <c r="C13" s="101">
        <v>0</v>
      </c>
      <c r="D13" s="101">
        <v>0</v>
      </c>
      <c r="E13" s="101">
        <v>0</v>
      </c>
      <c r="F13" s="101">
        <v>0</v>
      </c>
      <c r="I13" s="84">
        <v>2699634.59</v>
      </c>
      <c r="J13" s="102">
        <f>+I12-I13</f>
        <v>-2095160.5899999999</v>
      </c>
    </row>
    <row r="14" spans="1:12" s="86" customFormat="1" ht="14.5" customHeight="1">
      <c r="A14" s="95" t="s">
        <v>250</v>
      </c>
      <c r="B14" s="96"/>
      <c r="C14" s="103">
        <f>SUM(C9:C13)</f>
        <v>17568820.102020204</v>
      </c>
      <c r="D14" s="103">
        <f>SUM(D9:D13)</f>
        <v>16288364.9</v>
      </c>
      <c r="E14" s="103">
        <f>SUM(E9:E13)</f>
        <v>13590115.15</v>
      </c>
      <c r="F14" s="103">
        <f>SUM(F9:F13)</f>
        <v>12985641.15</v>
      </c>
      <c r="H14" s="87"/>
      <c r="I14" s="87"/>
    </row>
    <row r="15" spans="1:12" s="86" customFormat="1" ht="14.5" customHeight="1">
      <c r="A15" s="95" t="s">
        <v>168</v>
      </c>
      <c r="B15" s="96"/>
      <c r="C15" s="96"/>
      <c r="D15" s="96"/>
      <c r="E15" s="96"/>
      <c r="F15" s="104"/>
      <c r="H15" s="87"/>
      <c r="I15" s="87"/>
    </row>
    <row r="16" spans="1:12" ht="14.5" customHeight="1">
      <c r="A16" s="97" t="s">
        <v>248</v>
      </c>
      <c r="B16" s="89">
        <v>3.3</v>
      </c>
      <c r="C16" s="98">
        <f>'[5]3.3'!C35</f>
        <v>0</v>
      </c>
      <c r="D16" s="98">
        <f>'[5]3.3'!D35</f>
        <v>0</v>
      </c>
      <c r="E16" s="98">
        <f>'[5]3.3'!D35</f>
        <v>0</v>
      </c>
      <c r="F16" s="98">
        <f>'[5]3.3'!E35</f>
        <v>0</v>
      </c>
    </row>
    <row r="17" spans="1:12" ht="14.5" customHeight="1">
      <c r="A17" s="97" t="s">
        <v>251</v>
      </c>
      <c r="B17" s="89">
        <v>3.4</v>
      </c>
      <c r="C17" s="98">
        <f>'3.4 to 3.6 ao 03.15'!C36</f>
        <v>25069196.5</v>
      </c>
      <c r="D17" s="98">
        <f>'3.4 to 3.6 ao 10.18'!C32</f>
        <v>21010111.5</v>
      </c>
      <c r="E17" s="98">
        <f>'3.4 to 3.6 ao 10.18'!D32</f>
        <v>15311962</v>
      </c>
      <c r="F17" s="98">
        <f>'3.4 to 3.6 ao 10.18'!E32</f>
        <v>21788699</v>
      </c>
      <c r="H17" s="84" t="s">
        <v>252</v>
      </c>
      <c r="K17" s="99"/>
      <c r="L17" s="100"/>
    </row>
    <row r="18" spans="1:12" ht="14.5" customHeight="1">
      <c r="A18" s="97" t="s">
        <v>253</v>
      </c>
      <c r="B18" s="89">
        <v>3.5</v>
      </c>
      <c r="C18" s="98"/>
      <c r="D18" s="98"/>
      <c r="E18" s="98">
        <f>+'3.4 to 3.6 ao 10.18'!D47</f>
        <v>0</v>
      </c>
      <c r="F18" s="98">
        <f>+'3.4 to 3.6 ao 10.18'!E47</f>
        <v>0</v>
      </c>
      <c r="H18" s="84">
        <v>10922984.810000001</v>
      </c>
      <c r="K18" s="99"/>
      <c r="L18" s="100"/>
    </row>
    <row r="19" spans="1:12" ht="14.5" customHeight="1">
      <c r="A19" s="97" t="s">
        <v>254</v>
      </c>
      <c r="B19" s="89">
        <v>3.6</v>
      </c>
      <c r="C19" s="98">
        <f>'3.4 to 3.6 ao 03.15'!C62</f>
        <v>1615017.35</v>
      </c>
      <c r="D19" s="98">
        <f>'3.4 to 3.6 ao 10.18'!C58</f>
        <v>12637.349999999977</v>
      </c>
      <c r="E19" s="98">
        <f>'3.4 to 3.6 ao 10.18'!D58</f>
        <v>891197</v>
      </c>
      <c r="F19" s="98">
        <f>'3.4 to 3.6 ao 10.18'!E58</f>
        <v>67329</v>
      </c>
      <c r="K19" s="100"/>
      <c r="L19" s="100"/>
    </row>
    <row r="20" spans="1:12" ht="14.5" customHeight="1">
      <c r="A20" s="97" t="s">
        <v>255</v>
      </c>
      <c r="B20" s="89">
        <v>3.7</v>
      </c>
      <c r="C20" s="98">
        <f>+'3.4 to 3.6 ao 10.18'!C68</f>
        <v>0</v>
      </c>
      <c r="D20" s="98">
        <f>+'3.4 to 3.6 ao 10.18'!D68</f>
        <v>0</v>
      </c>
      <c r="E20" s="98">
        <f>+'3.4 to 3.6 ao 10.18'!D68</f>
        <v>0</v>
      </c>
      <c r="F20" s="98">
        <f>+'3.4 to 3.6 ao 10.18'!E68</f>
        <v>0</v>
      </c>
      <c r="K20" s="99"/>
      <c r="L20" s="100"/>
    </row>
    <row r="21" spans="1:12" s="86" customFormat="1" ht="14.5" customHeight="1">
      <c r="A21" s="95" t="s">
        <v>256</v>
      </c>
      <c r="B21" s="96"/>
      <c r="C21" s="105">
        <f>SUM(C16:C20)</f>
        <v>26684213.850000001</v>
      </c>
      <c r="D21" s="105">
        <f>SUM(D16:D20)</f>
        <v>21022748.850000001</v>
      </c>
      <c r="E21" s="105">
        <f>SUM(E16:E20)</f>
        <v>16203159</v>
      </c>
      <c r="F21" s="105">
        <f>SUM(F16:F20)</f>
        <v>21856028</v>
      </c>
      <c r="H21" s="87"/>
      <c r="I21" s="87"/>
    </row>
    <row r="22" spans="1:12" s="86" customFormat="1" ht="14.5" customHeight="1" thickBot="1">
      <c r="A22" s="95" t="s">
        <v>257</v>
      </c>
      <c r="B22" s="96"/>
      <c r="C22" s="106">
        <f>C21+C14</f>
        <v>44253033.952020206</v>
      </c>
      <c r="D22" s="106">
        <f>D21+D14</f>
        <v>37311113.75</v>
      </c>
      <c r="E22" s="107">
        <f>E21+E14</f>
        <v>29793274.149999999</v>
      </c>
      <c r="F22" s="107">
        <f>F21+F14</f>
        <v>34841669.149999999</v>
      </c>
      <c r="G22" s="108"/>
      <c r="H22" s="87"/>
      <c r="I22" s="87"/>
    </row>
    <row r="23" spans="1:12" s="86" customFormat="1" ht="14.5" customHeight="1" thickTop="1">
      <c r="A23" s="95" t="s">
        <v>258</v>
      </c>
      <c r="B23" s="96"/>
      <c r="C23" s="96"/>
      <c r="D23" s="96"/>
      <c r="E23" s="96"/>
      <c r="F23" s="96"/>
      <c r="H23" s="87"/>
      <c r="I23" s="87"/>
    </row>
    <row r="24" spans="1:12" s="86" customFormat="1" ht="14.5" customHeight="1">
      <c r="A24" s="95" t="s">
        <v>259</v>
      </c>
      <c r="B24" s="96"/>
      <c r="C24" s="96"/>
      <c r="D24" s="96"/>
      <c r="E24" s="96"/>
      <c r="F24" s="96"/>
      <c r="H24" s="87"/>
      <c r="I24" s="87"/>
    </row>
    <row r="25" spans="1:12" ht="14.5" customHeight="1">
      <c r="A25" s="97" t="s">
        <v>114</v>
      </c>
      <c r="B25" s="89">
        <v>3.8</v>
      </c>
      <c r="C25" s="98">
        <f>'3.7 to 3.8 03.15'!D35</f>
        <v>44000000</v>
      </c>
      <c r="D25" s="98">
        <f>'3.7 to 3.8 10.18'!D31</f>
        <v>10290000</v>
      </c>
      <c r="E25" s="98">
        <f>'3.7 to 3.8 10.18'!E31</f>
        <v>12600000</v>
      </c>
      <c r="F25" s="98">
        <v>0</v>
      </c>
      <c r="H25" s="84">
        <v>6175421.8300000001</v>
      </c>
      <c r="I25" s="84">
        <f>+H25+E27</f>
        <v>5801845.8300000001</v>
      </c>
      <c r="K25" s="100"/>
      <c r="L25" s="100"/>
    </row>
    <row r="26" spans="1:12" ht="14.5" customHeight="1">
      <c r="A26" s="97" t="s">
        <v>260</v>
      </c>
      <c r="B26" s="89"/>
      <c r="C26" s="98">
        <f>'3.7 to 3.8 03.15'!D42</f>
        <v>500000</v>
      </c>
      <c r="D26" s="98">
        <f>'3.7 to 3.8 10.18'!D38</f>
        <v>22500000</v>
      </c>
      <c r="E26" s="98">
        <v>0</v>
      </c>
      <c r="F26" s="98">
        <f>'3.7 to 3.8 10.18'!E38</f>
        <v>0</v>
      </c>
      <c r="K26" s="100"/>
      <c r="L26" s="100"/>
    </row>
    <row r="27" spans="1:12" ht="14.5" customHeight="1">
      <c r="A27" s="97" t="s">
        <v>261</v>
      </c>
      <c r="B27" s="89">
        <v>3.9</v>
      </c>
      <c r="C27" s="101">
        <f>'3.7 to 3.8 03.15'!D51</f>
        <v>-571961.25</v>
      </c>
      <c r="D27" s="101">
        <f>'3.7 to 3.8 10.18'!D47</f>
        <v>-538061.25</v>
      </c>
      <c r="E27" s="101">
        <f>'3.7 to 3.8 10.18'!E47</f>
        <v>-373576</v>
      </c>
      <c r="F27" s="101">
        <f>'3.7 to 3.8 10.18'!E45</f>
        <v>-196480</v>
      </c>
      <c r="H27" s="84">
        <v>-6165121.9300000221</v>
      </c>
      <c r="I27" s="84">
        <f>+H27-E27</f>
        <v>-5791545.9300000221</v>
      </c>
      <c r="K27" s="100"/>
      <c r="L27" s="100"/>
    </row>
    <row r="28" spans="1:12" s="86" customFormat="1" ht="14.5" customHeight="1">
      <c r="A28" s="95" t="s">
        <v>262</v>
      </c>
      <c r="B28" s="96"/>
      <c r="C28" s="109">
        <f>SUM(C25:C27)</f>
        <v>43928038.75</v>
      </c>
      <c r="D28" s="109">
        <f>SUM(D25:D27)</f>
        <v>32251938.75</v>
      </c>
      <c r="E28" s="109">
        <f>SUM(E25:E27)</f>
        <v>12226424</v>
      </c>
      <c r="F28" s="109">
        <f>SUM(F25:F27)</f>
        <v>-196480</v>
      </c>
      <c r="H28" s="87"/>
      <c r="I28" s="87">
        <v>79025.120000000112</v>
      </c>
    </row>
    <row r="29" spans="1:12" ht="14.5" customHeight="1">
      <c r="A29" s="95" t="s">
        <v>263</v>
      </c>
      <c r="B29" s="89"/>
      <c r="C29" s="89"/>
      <c r="D29" s="89"/>
      <c r="E29" s="98"/>
      <c r="F29" s="89"/>
    </row>
    <row r="30" spans="1:12" ht="14.5" customHeight="1">
      <c r="A30" s="95" t="s">
        <v>264</v>
      </c>
      <c r="B30" s="89"/>
      <c r="C30" s="89"/>
      <c r="D30" s="89"/>
      <c r="E30" s="98"/>
      <c r="F30" s="89"/>
    </row>
    <row r="31" spans="1:12" ht="14.5" customHeight="1">
      <c r="A31" s="97" t="s">
        <v>265</v>
      </c>
      <c r="B31" s="110" t="s">
        <v>266</v>
      </c>
      <c r="C31" s="98">
        <f>'3.9 to 3.11 AO 03.15'!C25</f>
        <v>40000</v>
      </c>
      <c r="D31" s="98">
        <f>'3.9 to 3.11 AO 10.18'!D25</f>
        <v>3870000</v>
      </c>
      <c r="E31" s="98">
        <f>'3.9 to 3.11 AO 10.18'!E25</f>
        <v>17165000</v>
      </c>
      <c r="F31" s="98">
        <f>'3.9 to 3.11 AO 10.18'!F25</f>
        <v>20756010</v>
      </c>
    </row>
    <row r="32" spans="1:12" ht="14.5" customHeight="1">
      <c r="A32" s="97" t="s">
        <v>267</v>
      </c>
      <c r="B32" s="111"/>
      <c r="C32" s="98">
        <f>'3.9 to 3.11 AO 10.18'!D36</f>
        <v>0</v>
      </c>
      <c r="D32" s="98">
        <f>'3.9 to 3.11 AO 10.18'!E36</f>
        <v>0</v>
      </c>
      <c r="E32" s="98">
        <f>'3.9 to 3.11 AO 10.18'!E36</f>
        <v>0</v>
      </c>
      <c r="F32" s="98">
        <f>'3.9 to 3.11 AO 10.18'!F36</f>
        <v>0</v>
      </c>
    </row>
    <row r="33" spans="1:12" ht="14.5" customHeight="1">
      <c r="A33" s="97" t="s">
        <v>268</v>
      </c>
      <c r="B33" s="89"/>
      <c r="C33" s="101"/>
      <c r="D33" s="101"/>
      <c r="E33" s="101">
        <v>0</v>
      </c>
      <c r="F33" s="101">
        <v>0</v>
      </c>
    </row>
    <row r="34" spans="1:12" s="86" customFormat="1" ht="14.5" customHeight="1">
      <c r="A34" s="95" t="s">
        <v>269</v>
      </c>
      <c r="B34" s="96"/>
      <c r="C34" s="109">
        <f>SUM(C31:C33)</f>
        <v>40000</v>
      </c>
      <c r="D34" s="109">
        <f>SUM(D31:D33)</f>
        <v>3870000</v>
      </c>
      <c r="E34" s="105">
        <f>SUM(E31:E33)</f>
        <v>17165000</v>
      </c>
      <c r="F34" s="105">
        <f>SUM(F31:F33)</f>
        <v>20756010</v>
      </c>
      <c r="H34" s="87"/>
      <c r="I34" s="87"/>
    </row>
    <row r="35" spans="1:12" ht="14.5" customHeight="1">
      <c r="A35" s="95" t="s">
        <v>127</v>
      </c>
      <c r="B35" s="89"/>
      <c r="C35" s="89"/>
      <c r="D35" s="89"/>
      <c r="E35" s="98"/>
      <c r="F35" s="98"/>
    </row>
    <row r="36" spans="1:12" ht="14.5" customHeight="1">
      <c r="A36" s="97" t="s">
        <v>265</v>
      </c>
      <c r="B36" s="110" t="s">
        <v>266</v>
      </c>
      <c r="C36" s="98">
        <f>'3.9 to 3.11 AO 10.18'!D26</f>
        <v>0</v>
      </c>
      <c r="D36" s="98">
        <f>'3.9 to 3.11 AO 10.18'!E26</f>
        <v>0</v>
      </c>
      <c r="E36" s="98">
        <f>'3.9 to 3.11 AO 10.18'!E26</f>
        <v>0</v>
      </c>
      <c r="F36" s="98">
        <f>'3.9 to 3.11 AO 10.18'!F26</f>
        <v>0</v>
      </c>
      <c r="K36" s="100"/>
      <c r="L36" s="100"/>
    </row>
    <row r="37" spans="1:12" ht="14.5" customHeight="1">
      <c r="A37" s="97" t="s">
        <v>270</v>
      </c>
      <c r="B37" s="112">
        <v>3.11</v>
      </c>
      <c r="C37" s="98">
        <f>'3.9 to 3.11 AO 03.15'!C50+'3.9 to 3.11 AO 03.15'!C63</f>
        <v>284995.20202020201</v>
      </c>
      <c r="D37" s="98">
        <f>'3.9 to 3.11 AO 10.18'!D49+'3.9 to 3.11 AO 10.18'!D61</f>
        <v>1189175</v>
      </c>
      <c r="E37" s="98">
        <f>'3.9 to 3.11 AO 10.18'!E49</f>
        <v>401850</v>
      </c>
      <c r="F37" s="98">
        <f>'3.9 to 3.11 AO 10.18'!F49</f>
        <v>28498</v>
      </c>
      <c r="K37" s="100"/>
      <c r="L37" s="100"/>
    </row>
    <row r="38" spans="1:12" ht="14.5" customHeight="1">
      <c r="A38" s="97" t="s">
        <v>271</v>
      </c>
      <c r="B38" s="89"/>
      <c r="C38" s="98">
        <f>'3.9 to 3.11 AO 10.18'!D69</f>
        <v>0</v>
      </c>
      <c r="D38" s="98">
        <f>'3.9 to 3.11 AO 10.18'!E69</f>
        <v>0</v>
      </c>
      <c r="E38" s="98">
        <f>'3.9 to 3.11 AO 10.18'!E69</f>
        <v>0</v>
      </c>
      <c r="F38" s="98">
        <f>'3.9 to 3.11 AO 10.18'!F69</f>
        <v>0</v>
      </c>
    </row>
    <row r="39" spans="1:12" ht="14.5" customHeight="1">
      <c r="A39" s="97" t="s">
        <v>267</v>
      </c>
      <c r="B39" s="89"/>
      <c r="C39" s="98">
        <v>0</v>
      </c>
      <c r="D39" s="98">
        <v>0</v>
      </c>
      <c r="E39" s="98">
        <v>0</v>
      </c>
      <c r="F39" s="98">
        <v>0</v>
      </c>
    </row>
    <row r="40" spans="1:12" ht="14.5" customHeight="1">
      <c r="A40" s="97" t="s">
        <v>268</v>
      </c>
      <c r="B40" s="89"/>
      <c r="C40" s="101">
        <v>0</v>
      </c>
      <c r="D40" s="101">
        <v>0</v>
      </c>
      <c r="E40" s="101">
        <v>0</v>
      </c>
      <c r="F40" s="101">
        <v>0</v>
      </c>
    </row>
    <row r="41" spans="1:12" s="86" customFormat="1" ht="14.5" customHeight="1">
      <c r="A41" s="95" t="s">
        <v>272</v>
      </c>
      <c r="B41" s="96"/>
      <c r="C41" s="105">
        <f>SUM(C36:C40)</f>
        <v>284995.20202020201</v>
      </c>
      <c r="D41" s="105">
        <f>SUM(D36:D40)</f>
        <v>1189175</v>
      </c>
      <c r="E41" s="105">
        <f>SUM(E36:E40)</f>
        <v>401850</v>
      </c>
      <c r="F41" s="105">
        <f>SUM(F36:F40)</f>
        <v>28498</v>
      </c>
      <c r="G41" s="83"/>
      <c r="H41" s="87"/>
      <c r="I41" s="87"/>
    </row>
    <row r="42" spans="1:12" s="86" customFormat="1" ht="14.5" customHeight="1">
      <c r="A42" s="95" t="s">
        <v>273</v>
      </c>
      <c r="B42" s="96"/>
      <c r="C42" s="113">
        <f>C34+C41</f>
        <v>324995.20202020201</v>
      </c>
      <c r="D42" s="113">
        <f>D34+D41</f>
        <v>5059175</v>
      </c>
      <c r="E42" s="113">
        <f>E34+E41</f>
        <v>17566850</v>
      </c>
      <c r="F42" s="113">
        <f>F34+F41</f>
        <v>20784508</v>
      </c>
      <c r="H42" s="87"/>
      <c r="I42" s="87"/>
    </row>
    <row r="43" spans="1:12" s="86" customFormat="1" ht="14.5" customHeight="1" thickBot="1">
      <c r="A43" s="95" t="s">
        <v>274</v>
      </c>
      <c r="B43" s="96"/>
      <c r="C43" s="107">
        <f>C42+C28</f>
        <v>44253033.952020206</v>
      </c>
      <c r="D43" s="107">
        <f>D42+D28</f>
        <v>37311113.75</v>
      </c>
      <c r="E43" s="107">
        <f>E42+E28</f>
        <v>29793274</v>
      </c>
      <c r="F43" s="107">
        <f>F42+F28</f>
        <v>20588028</v>
      </c>
      <c r="H43" s="87"/>
      <c r="I43" s="87"/>
    </row>
    <row r="44" spans="1:12" s="86" customFormat="1" ht="15" customHeight="1" thickTop="1">
      <c r="A44" s="95"/>
      <c r="B44" s="96"/>
      <c r="C44" s="96"/>
      <c r="D44" s="114"/>
      <c r="E44" s="114"/>
      <c r="F44" s="114"/>
      <c r="H44" s="87"/>
      <c r="I44" s="87"/>
    </row>
    <row r="45" spans="1:12" s="86" customFormat="1" ht="15" customHeight="1">
      <c r="A45" s="95"/>
      <c r="B45" s="96"/>
      <c r="C45" s="96"/>
      <c r="D45" s="114"/>
      <c r="E45" s="114"/>
      <c r="F45" s="114"/>
      <c r="H45" s="87"/>
      <c r="I45" s="87"/>
    </row>
    <row r="46" spans="1:12" s="86" customFormat="1" ht="15" customHeight="1">
      <c r="A46" s="95"/>
      <c r="B46" s="96"/>
      <c r="C46" s="96"/>
      <c r="D46" s="114"/>
      <c r="E46" s="114"/>
      <c r="F46" s="114"/>
      <c r="H46" s="87"/>
      <c r="I46" s="87"/>
    </row>
    <row r="47" spans="1:12" s="86" customFormat="1" ht="15" customHeight="1">
      <c r="A47" s="95"/>
      <c r="B47" s="96"/>
      <c r="C47" s="96"/>
      <c r="D47" s="114"/>
      <c r="E47" s="114"/>
      <c r="F47" s="114"/>
      <c r="H47" s="87"/>
      <c r="I47" s="87"/>
    </row>
    <row r="48" spans="1:12" s="86" customFormat="1" ht="15" customHeight="1">
      <c r="A48" s="95"/>
      <c r="B48" s="96"/>
      <c r="C48" s="96"/>
      <c r="D48" s="114"/>
      <c r="E48" s="114"/>
      <c r="F48" s="114"/>
      <c r="H48" s="87"/>
      <c r="I48" s="87"/>
    </row>
    <row r="49" spans="3:6">
      <c r="C49" s="115">
        <f>B22-B43</f>
        <v>0</v>
      </c>
      <c r="D49" s="115">
        <f>C22-C43</f>
        <v>0</v>
      </c>
      <c r="E49" s="115">
        <f>E22-E43</f>
        <v>0.14999999850988388</v>
      </c>
      <c r="F49" s="116">
        <f>F22-F43</f>
        <v>14253641.149999999</v>
      </c>
    </row>
    <row r="50" spans="3:6">
      <c r="D50" s="117"/>
    </row>
    <row r="51" spans="3:6">
      <c r="D51" s="117"/>
    </row>
  </sheetData>
  <mergeCells count="3">
    <mergeCell ref="A1:E1"/>
    <mergeCell ref="A2:E2"/>
    <mergeCell ref="A3:E3"/>
  </mergeCells>
  <pageMargins left="0.7" right="0.7" top="0.75" bottom="0.75" header="0.3" footer="0.3"/>
  <pageSetup paperSize="9" scale="10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74BCB-510B-44B1-8619-EB23CE0EB3EB}">
  <sheetPr>
    <tabColor rgb="FF00B050"/>
  </sheetPr>
  <dimension ref="A1:I24"/>
  <sheetViews>
    <sheetView showGridLines="0" view="pageBreakPreview" topLeftCell="A15" zoomScale="120" zoomScaleNormal="130" zoomScaleSheetLayoutView="120" workbookViewId="0">
      <selection activeCell="D15" sqref="D15"/>
    </sheetView>
  </sheetViews>
  <sheetFormatPr defaultColWidth="8.6328125" defaultRowHeight="13.5"/>
  <cols>
    <col min="1" max="1" width="45.453125" style="83" customWidth="1"/>
    <col min="2" max="2" width="8" style="118" customWidth="1"/>
    <col min="3" max="3" width="19.1796875" style="118" customWidth="1"/>
    <col min="4" max="4" width="22.453125" style="83" customWidth="1"/>
    <col min="5" max="5" width="19.453125" style="83" hidden="1" customWidth="1"/>
    <col min="6" max="6" width="14.1796875" style="83" bestFit="1" customWidth="1"/>
    <col min="7" max="7" width="13.81640625" style="83" bestFit="1" customWidth="1"/>
    <col min="8" max="8" width="14.36328125" style="83" bestFit="1" customWidth="1"/>
    <col min="9" max="16384" width="8.6328125" style="83"/>
  </cols>
  <sheetData>
    <row r="1" spans="1:9" ht="17.5">
      <c r="A1" s="322" t="str">
        <f>'SOFP  10.18'!A1</f>
        <v>Magic Arun Hydropower Private Limitd</v>
      </c>
      <c r="B1" s="322"/>
      <c r="C1" s="322"/>
      <c r="D1" s="322"/>
      <c r="E1" s="322"/>
    </row>
    <row r="3" spans="1:9" ht="14">
      <c r="A3" s="323" t="s">
        <v>275</v>
      </c>
      <c r="B3" s="323"/>
      <c r="C3" s="323"/>
      <c r="D3" s="323"/>
      <c r="E3" s="323"/>
    </row>
    <row r="4" spans="1:9" ht="14">
      <c r="A4" s="323" t="s">
        <v>592</v>
      </c>
      <c r="B4" s="323"/>
      <c r="C4" s="323"/>
      <c r="D4" s="323"/>
      <c r="E4" s="323"/>
    </row>
    <row r="5" spans="1:9">
      <c r="E5" s="119" t="s">
        <v>276</v>
      </c>
    </row>
    <row r="6" spans="1:9">
      <c r="E6" s="119" t="s">
        <v>238</v>
      </c>
    </row>
    <row r="7" spans="1:9" s="86" customFormat="1" ht="20" customHeight="1" thickBot="1">
      <c r="A7" s="92" t="s">
        <v>1</v>
      </c>
      <c r="B7" s="93" t="s">
        <v>240</v>
      </c>
      <c r="C7" s="93" t="s">
        <v>591</v>
      </c>
      <c r="D7" s="120" t="s">
        <v>573</v>
      </c>
      <c r="E7" s="120" t="s">
        <v>277</v>
      </c>
    </row>
    <row r="8" spans="1:9" s="86" customFormat="1" ht="20" customHeight="1">
      <c r="A8" s="121" t="s">
        <v>278</v>
      </c>
      <c r="B8" s="122">
        <v>3.12</v>
      </c>
      <c r="C8" s="122"/>
      <c r="D8" s="123">
        <f>'3.12 to 3.18 ao 10.18'!D12</f>
        <v>0</v>
      </c>
      <c r="E8" s="123">
        <f>'3.12 to 3.18 ao 10.18'!E12</f>
        <v>0</v>
      </c>
      <c r="G8" s="124"/>
      <c r="H8" s="100">
        <f>D8-E8</f>
        <v>0</v>
      </c>
      <c r="I8" s="83" t="e">
        <f>H8/E8</f>
        <v>#DIV/0!</v>
      </c>
    </row>
    <row r="9" spans="1:9" ht="20" customHeight="1">
      <c r="A9" s="121" t="s">
        <v>279</v>
      </c>
      <c r="B9" s="121"/>
      <c r="C9" s="121"/>
      <c r="D9" s="123">
        <v>0</v>
      </c>
      <c r="E9" s="123">
        <v>0</v>
      </c>
    </row>
    <row r="10" spans="1:9" ht="20" customHeight="1">
      <c r="A10" s="121" t="s">
        <v>280</v>
      </c>
      <c r="B10" s="122">
        <v>3.13</v>
      </c>
      <c r="C10" s="122"/>
      <c r="D10" s="125">
        <f>'3.12 to 3.18 ao 10.18'!D21</f>
        <v>0</v>
      </c>
      <c r="E10" s="125">
        <f>'3.12 to 3.18 ao 10.18'!E21</f>
        <v>0</v>
      </c>
    </row>
    <row r="11" spans="1:9" s="86" customFormat="1" ht="20" customHeight="1">
      <c r="A11" s="126" t="s">
        <v>281</v>
      </c>
      <c r="B11" s="127"/>
      <c r="C11" s="127"/>
      <c r="D11" s="128">
        <f>SUM(D8:D10)</f>
        <v>0</v>
      </c>
      <c r="E11" s="128">
        <f>SUM(E8:E10)</f>
        <v>0</v>
      </c>
    </row>
    <row r="12" spans="1:9" ht="20" customHeight="1">
      <c r="A12" s="121" t="s">
        <v>282</v>
      </c>
      <c r="B12" s="122">
        <v>3.14</v>
      </c>
      <c r="C12" s="122"/>
      <c r="D12" s="123">
        <f>'3.12 to 3.18 ao 10.18'!D30</f>
        <v>0</v>
      </c>
      <c r="E12" s="123">
        <f>'3.12 to 3.18 ao 10.18'!E30</f>
        <v>0</v>
      </c>
      <c r="F12" s="102" t="e">
        <f>(D12+D13)/D8</f>
        <v>#DIV/0!</v>
      </c>
      <c r="G12" s="102" t="e">
        <f>(E12+E13)/E8</f>
        <v>#DIV/0!</v>
      </c>
      <c r="H12" s="100">
        <f t="shared" ref="H12:H17" si="0">D12-E12</f>
        <v>0</v>
      </c>
      <c r="I12" s="83" t="e">
        <f t="shared" ref="I12:I17" si="1">H12/E12</f>
        <v>#DIV/0!</v>
      </c>
    </row>
    <row r="13" spans="1:9" ht="20" customHeight="1">
      <c r="A13" s="121" t="s">
        <v>283</v>
      </c>
      <c r="B13" s="122">
        <v>3.15</v>
      </c>
      <c r="C13" s="122"/>
      <c r="D13" s="123">
        <f>+'3.12 to 3.18 ao 10.18'!D38</f>
        <v>0</v>
      </c>
      <c r="E13" s="123">
        <f>+'3.12 to 3.18 ao 10.18'!E38</f>
        <v>0</v>
      </c>
      <c r="H13" s="100">
        <f t="shared" si="0"/>
        <v>0</v>
      </c>
      <c r="I13" s="83" t="e">
        <f t="shared" si="1"/>
        <v>#DIV/0!</v>
      </c>
    </row>
    <row r="14" spans="1:9" ht="20" customHeight="1">
      <c r="A14" s="121" t="s">
        <v>284</v>
      </c>
      <c r="B14" s="122">
        <v>3.16</v>
      </c>
      <c r="C14" s="122"/>
      <c r="D14" s="123">
        <f>+'3.12 to 3.18 ao 10.18'!D50</f>
        <v>0</v>
      </c>
      <c r="E14" s="123">
        <f>+'3.12 to 3.18 ao 10.18'!E50</f>
        <v>0</v>
      </c>
      <c r="H14" s="100">
        <f t="shared" si="0"/>
        <v>0</v>
      </c>
      <c r="I14" s="83" t="e">
        <f t="shared" si="1"/>
        <v>#DIV/0!</v>
      </c>
    </row>
    <row r="15" spans="1:9" ht="20" customHeight="1">
      <c r="A15" s="121" t="s">
        <v>285</v>
      </c>
      <c r="B15" s="122">
        <v>3.17</v>
      </c>
      <c r="C15" s="122"/>
      <c r="D15" s="123">
        <f>'3.12 to 3.18 ao 10.18'!D81</f>
        <v>33900</v>
      </c>
      <c r="E15" s="123">
        <f>'3.12 to 3.18 ao 10.18'!E81</f>
        <v>29382</v>
      </c>
      <c r="H15" s="100">
        <f t="shared" si="0"/>
        <v>4518</v>
      </c>
      <c r="I15" s="83">
        <f t="shared" si="1"/>
        <v>0.15376761282417806</v>
      </c>
    </row>
    <row r="16" spans="1:9" ht="20" customHeight="1">
      <c r="A16" s="121" t="s">
        <v>286</v>
      </c>
      <c r="B16" s="122">
        <v>3.18</v>
      </c>
      <c r="C16" s="122"/>
      <c r="D16" s="123">
        <f>'3.12 to 3.18 ao 10.18'!D86</f>
        <v>0</v>
      </c>
      <c r="E16" s="123">
        <f>'3.12 to 3.18 ao 10.18'!E86</f>
        <v>0</v>
      </c>
      <c r="H16" s="100">
        <f t="shared" si="0"/>
        <v>0</v>
      </c>
      <c r="I16" s="83" t="e">
        <f t="shared" si="1"/>
        <v>#DIV/0!</v>
      </c>
    </row>
    <row r="17" spans="1:9" ht="20" customHeight="1">
      <c r="A17" s="121" t="s">
        <v>287</v>
      </c>
      <c r="B17" s="122" t="s">
        <v>288</v>
      </c>
      <c r="C17" s="122"/>
      <c r="D17" s="123">
        <v>0</v>
      </c>
      <c r="E17" s="123">
        <f>+'3.1 10.18'!I28+'[5]3.2'!E30</f>
        <v>147714</v>
      </c>
      <c r="F17" s="84">
        <v>187078.71</v>
      </c>
      <c r="G17" s="100">
        <f>+E17-F17</f>
        <v>-39364.709999999992</v>
      </c>
      <c r="H17" s="100">
        <f t="shared" si="0"/>
        <v>-147714</v>
      </c>
      <c r="I17" s="83">
        <f t="shared" si="1"/>
        <v>-1</v>
      </c>
    </row>
    <row r="18" spans="1:9" s="86" customFormat="1" ht="20" customHeight="1">
      <c r="A18" s="126" t="s">
        <v>289</v>
      </c>
      <c r="B18" s="127"/>
      <c r="C18" s="127"/>
      <c r="D18" s="129">
        <f>SUM(D12:D17)</f>
        <v>33900</v>
      </c>
      <c r="E18" s="129">
        <f>SUM(E12:E17)</f>
        <v>177096</v>
      </c>
    </row>
    <row r="19" spans="1:9" s="86" customFormat="1" ht="20" customHeight="1">
      <c r="A19" s="126" t="s">
        <v>290</v>
      </c>
      <c r="B19" s="127"/>
      <c r="C19" s="127"/>
      <c r="D19" s="130">
        <f>D11-D18</f>
        <v>-33900</v>
      </c>
      <c r="E19" s="128">
        <f>E11-E18</f>
        <v>-177096</v>
      </c>
      <c r="F19" s="86">
        <v>-2368782.9299999997</v>
      </c>
      <c r="G19" s="100">
        <f>+E19-F19</f>
        <v>2191686.9299999997</v>
      </c>
    </row>
    <row r="20" spans="1:9" ht="20" customHeight="1">
      <c r="A20" s="121" t="s">
        <v>291</v>
      </c>
      <c r="B20" s="131"/>
      <c r="C20" s="131"/>
      <c r="D20" s="132">
        <f>SUM(D21:D22)</f>
        <v>0</v>
      </c>
      <c r="E20" s="132">
        <f>SUM(E21:E22)</f>
        <v>0</v>
      </c>
      <c r="G20" s="100"/>
    </row>
    <row r="21" spans="1:9" ht="20" customHeight="1">
      <c r="A21" s="133" t="s">
        <v>292</v>
      </c>
      <c r="B21" s="122"/>
      <c r="C21" s="122"/>
      <c r="D21" s="123">
        <v>0</v>
      </c>
      <c r="E21" s="134">
        <v>0</v>
      </c>
    </row>
    <row r="22" spans="1:9" ht="20" customHeight="1">
      <c r="A22" s="135" t="s">
        <v>293</v>
      </c>
      <c r="B22" s="122"/>
      <c r="C22" s="122"/>
      <c r="D22" s="123">
        <v>0</v>
      </c>
      <c r="E22" s="136">
        <v>0</v>
      </c>
    </row>
    <row r="23" spans="1:9" s="86" customFormat="1" ht="20" customHeight="1" thickBot="1">
      <c r="A23" s="126" t="s">
        <v>294</v>
      </c>
      <c r="B23" s="127"/>
      <c r="C23" s="127"/>
      <c r="D23" s="137">
        <f>D19-D20</f>
        <v>-33900</v>
      </c>
      <c r="E23" s="138">
        <f>E19-E20</f>
        <v>-177096</v>
      </c>
    </row>
    <row r="24" spans="1:9" ht="14" thickTop="1"/>
  </sheetData>
  <mergeCells count="3">
    <mergeCell ref="A1:E1"/>
    <mergeCell ref="A3:E3"/>
    <mergeCell ref="A4:E4"/>
  </mergeCells>
  <pageMargins left="0.7" right="0.7" top="0.75" bottom="0.75" header="0.3" footer="0.3"/>
  <pageSetup paperSize="9" scale="9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83B08-37DD-4F61-A4BC-52277A97EB31}">
  <sheetPr>
    <tabColor rgb="FF00B050"/>
  </sheetPr>
  <dimension ref="A1:I20"/>
  <sheetViews>
    <sheetView showGridLines="0" view="pageBreakPreview" topLeftCell="A8" zoomScale="110" zoomScaleNormal="140" zoomScaleSheetLayoutView="110" workbookViewId="0">
      <selection activeCell="C37" sqref="C37"/>
    </sheetView>
  </sheetViews>
  <sheetFormatPr defaultColWidth="8.6328125" defaultRowHeight="13.5"/>
  <cols>
    <col min="1" max="1" width="44.453125" style="83" customWidth="1"/>
    <col min="2" max="2" width="8.453125" style="83" customWidth="1"/>
    <col min="3" max="3" width="21.453125" style="83" customWidth="1"/>
    <col min="4" max="4" width="17.6328125" style="83" customWidth="1"/>
    <col min="5" max="5" width="20.453125" style="83" customWidth="1"/>
    <col min="6" max="6" width="14.81640625" style="83" customWidth="1"/>
    <col min="7" max="7" width="17.36328125" style="83" customWidth="1"/>
    <col min="8" max="8" width="11.81640625" style="83" bestFit="1" customWidth="1"/>
    <col min="9" max="16384" width="8.6328125" style="83"/>
  </cols>
  <sheetData>
    <row r="1" spans="1:9" ht="17.5">
      <c r="A1" s="322" t="str">
        <f>'SOI 10.18'!A1</f>
        <v>Magic Arun Hydropower Private Limitd</v>
      </c>
      <c r="B1" s="322"/>
      <c r="C1" s="322"/>
      <c r="D1" s="322"/>
      <c r="E1" s="322"/>
      <c r="F1" s="322"/>
      <c r="G1" s="322"/>
    </row>
    <row r="2" spans="1:9">
      <c r="A2" s="324"/>
      <c r="B2" s="324"/>
      <c r="C2" s="324"/>
      <c r="D2" s="324"/>
      <c r="E2" s="324"/>
      <c r="F2" s="324"/>
      <c r="G2" s="324"/>
    </row>
    <row r="3" spans="1:9" ht="14">
      <c r="A3" s="323" t="s">
        <v>295</v>
      </c>
      <c r="B3" s="323"/>
      <c r="C3" s="323"/>
      <c r="D3" s="323"/>
      <c r="E3" s="323"/>
      <c r="F3" s="323"/>
      <c r="G3" s="323"/>
    </row>
    <row r="4" spans="1:9" ht="14">
      <c r="A4" s="323" t="str">
        <f>'SOI 10.18'!A4</f>
        <v xml:space="preserve">For the Year Ended 18 Magh 2082 </v>
      </c>
      <c r="B4" s="323"/>
      <c r="C4" s="323"/>
      <c r="D4" s="323"/>
      <c r="E4" s="323"/>
      <c r="F4" s="323"/>
      <c r="G4" s="323"/>
    </row>
    <row r="6" spans="1:9" ht="14">
      <c r="G6" s="139" t="s">
        <v>276</v>
      </c>
    </row>
    <row r="7" spans="1:9" s="142" customFormat="1" ht="20" customHeight="1" thickBot="1">
      <c r="A7" s="140" t="s">
        <v>1</v>
      </c>
      <c r="B7" s="141"/>
      <c r="C7" s="141" t="s">
        <v>114</v>
      </c>
      <c r="D7" s="141" t="s">
        <v>260</v>
      </c>
      <c r="E7" s="93" t="s">
        <v>261</v>
      </c>
      <c r="F7" s="141" t="s">
        <v>296</v>
      </c>
      <c r="G7" s="141" t="s">
        <v>109</v>
      </c>
    </row>
    <row r="8" spans="1:9" ht="20" customHeight="1">
      <c r="A8" s="143" t="s">
        <v>297</v>
      </c>
      <c r="B8" s="144"/>
      <c r="C8" s="145">
        <f>+'SOFP  10.18'!E25</f>
        <v>0</v>
      </c>
      <c r="D8" s="145">
        <v>7600000</v>
      </c>
      <c r="E8" s="145">
        <f>+'3.7 to 3.8 10.18'!E45</f>
        <v>-196480</v>
      </c>
      <c r="F8" s="145">
        <v>0</v>
      </c>
      <c r="G8" s="146">
        <f>SUM(C8:F8)</f>
        <v>7403520</v>
      </c>
    </row>
    <row r="9" spans="1:9" ht="20" customHeight="1">
      <c r="A9" s="147" t="s">
        <v>298</v>
      </c>
      <c r="B9" s="147"/>
      <c r="C9" s="148">
        <v>0</v>
      </c>
      <c r="D9" s="148">
        <v>0</v>
      </c>
      <c r="E9" s="148">
        <f>SUM([5]Reco!F5:F8)</f>
        <v>0</v>
      </c>
      <c r="F9" s="148">
        <v>0</v>
      </c>
      <c r="G9" s="149">
        <f>SUM(C9:F9)</f>
        <v>0</v>
      </c>
    </row>
    <row r="10" spans="1:9" ht="20" customHeight="1">
      <c r="A10" s="150" t="s">
        <v>299</v>
      </c>
      <c r="B10" s="147"/>
      <c r="C10" s="149">
        <f>SUM(C8:C9)</f>
        <v>0</v>
      </c>
      <c r="D10" s="149">
        <f t="shared" ref="D10:G10" si="0">SUM(D8:D9)</f>
        <v>7600000</v>
      </c>
      <c r="E10" s="149">
        <f t="shared" si="0"/>
        <v>-196480</v>
      </c>
      <c r="F10" s="149">
        <f t="shared" si="0"/>
        <v>0</v>
      </c>
      <c r="G10" s="149">
        <f t="shared" si="0"/>
        <v>7403520</v>
      </c>
      <c r="H10" s="83">
        <f>'SOFP  10.18'!E28</f>
        <v>-196480</v>
      </c>
      <c r="I10" s="100">
        <f>G10-H10</f>
        <v>7600000</v>
      </c>
    </row>
    <row r="11" spans="1:9" ht="20" customHeight="1">
      <c r="A11" s="88" t="s">
        <v>300</v>
      </c>
      <c r="B11" s="88"/>
      <c r="C11" s="98">
        <v>0</v>
      </c>
      <c r="D11" s="98">
        <v>0</v>
      </c>
      <c r="E11" s="151">
        <f>'SOI 10.18'!D23</f>
        <v>-177096</v>
      </c>
      <c r="F11" s="98">
        <v>0</v>
      </c>
      <c r="G11" s="152">
        <f>+SUM(C11:F11)</f>
        <v>-177096</v>
      </c>
    </row>
    <row r="12" spans="1:9" ht="20" customHeight="1">
      <c r="A12" s="88" t="s">
        <v>301</v>
      </c>
      <c r="B12" s="88"/>
      <c r="C12" s="151">
        <v>12600000</v>
      </c>
      <c r="D12" s="151">
        <v>-7600000</v>
      </c>
      <c r="E12" s="151">
        <v>0</v>
      </c>
      <c r="F12" s="151">
        <v>0</v>
      </c>
      <c r="G12" s="152">
        <f>+SUM(C12:F12)</f>
        <v>5000000</v>
      </c>
    </row>
    <row r="13" spans="1:9" ht="20" customHeight="1">
      <c r="A13" s="88" t="s">
        <v>302</v>
      </c>
      <c r="B13" s="88"/>
      <c r="C13" s="151">
        <v>0</v>
      </c>
      <c r="D13" s="151">
        <v>0</v>
      </c>
      <c r="E13" s="151">
        <v>0</v>
      </c>
      <c r="F13" s="151">
        <v>0</v>
      </c>
      <c r="G13" s="152">
        <f>+SUM(C13:F13)</f>
        <v>0</v>
      </c>
    </row>
    <row r="14" spans="1:9" ht="20" customHeight="1">
      <c r="A14" s="153" t="s">
        <v>303</v>
      </c>
      <c r="B14" s="153"/>
      <c r="C14" s="151">
        <v>0</v>
      </c>
      <c r="D14" s="151">
        <v>0</v>
      </c>
      <c r="E14" s="151">
        <v>0</v>
      </c>
      <c r="F14" s="151">
        <v>0</v>
      </c>
      <c r="G14" s="152">
        <f>+SUM(C14:F14)</f>
        <v>0</v>
      </c>
    </row>
    <row r="15" spans="1:9" s="86" customFormat="1" ht="20" customHeight="1">
      <c r="A15" s="150" t="s">
        <v>304</v>
      </c>
      <c r="B15" s="150"/>
      <c r="C15" s="149">
        <f>SUM(C10:C14)</f>
        <v>12600000</v>
      </c>
      <c r="D15" s="149">
        <f t="shared" ref="D15:G15" si="1">SUM(D10:D14)</f>
        <v>0</v>
      </c>
      <c r="E15" s="149">
        <f t="shared" si="1"/>
        <v>-373576</v>
      </c>
      <c r="F15" s="149">
        <f t="shared" si="1"/>
        <v>0</v>
      </c>
      <c r="G15" s="149">
        <f t="shared" si="1"/>
        <v>12226424</v>
      </c>
      <c r="H15" s="86">
        <f>'SOFP  10.18'!D28</f>
        <v>12226424</v>
      </c>
      <c r="I15" s="108">
        <f>G15-H15</f>
        <v>0</v>
      </c>
    </row>
    <row r="16" spans="1:9" ht="20" customHeight="1">
      <c r="A16" s="88" t="s">
        <v>300</v>
      </c>
      <c r="C16" s="154">
        <v>0</v>
      </c>
      <c r="D16" s="154">
        <v>0</v>
      </c>
      <c r="E16" s="154">
        <f>+'SOI 10.18'!C23</f>
        <v>-164485.25</v>
      </c>
      <c r="F16" s="154">
        <v>0</v>
      </c>
      <c r="G16" s="154">
        <f>+SUM(C16:F16)</f>
        <v>-164485.25</v>
      </c>
    </row>
    <row r="17" spans="1:9" ht="20" customHeight="1">
      <c r="A17" s="88" t="s">
        <v>301</v>
      </c>
      <c r="C17" s="154">
        <v>0</v>
      </c>
      <c r="D17" s="154">
        <v>0</v>
      </c>
      <c r="E17" s="154">
        <v>0</v>
      </c>
      <c r="F17" s="154">
        <v>0</v>
      </c>
      <c r="G17" s="154">
        <f t="shared" ref="G17:G19" si="2">+SUM(C17:F17)</f>
        <v>0</v>
      </c>
    </row>
    <row r="18" spans="1:9" ht="20" customHeight="1">
      <c r="A18" s="88" t="s">
        <v>302</v>
      </c>
      <c r="C18" s="154">
        <v>0</v>
      </c>
      <c r="D18" s="154">
        <v>0</v>
      </c>
      <c r="E18" s="154">
        <v>0</v>
      </c>
      <c r="F18" s="154">
        <v>0</v>
      </c>
      <c r="G18" s="154">
        <f t="shared" si="2"/>
        <v>0</v>
      </c>
    </row>
    <row r="19" spans="1:9" ht="20" customHeight="1">
      <c r="A19" s="153" t="s">
        <v>303</v>
      </c>
      <c r="B19" s="155"/>
      <c r="C19" s="156">
        <v>0</v>
      </c>
      <c r="D19" s="156">
        <v>0</v>
      </c>
      <c r="E19" s="156">
        <v>0</v>
      </c>
      <c r="F19" s="156">
        <v>0</v>
      </c>
      <c r="G19" s="154">
        <f t="shared" si="2"/>
        <v>0</v>
      </c>
    </row>
    <row r="20" spans="1:9" s="86" customFormat="1" ht="20" customHeight="1">
      <c r="A20" s="150" t="s">
        <v>305</v>
      </c>
      <c r="B20" s="157"/>
      <c r="C20" s="158">
        <f>SUM(C15:C19)</f>
        <v>12600000</v>
      </c>
      <c r="D20" s="158">
        <f>SUM(D15:D19)</f>
        <v>0</v>
      </c>
      <c r="E20" s="158">
        <f>SUM(E15:E19)</f>
        <v>-538061.25</v>
      </c>
      <c r="F20" s="158">
        <f>SUM(F15:F19)</f>
        <v>0</v>
      </c>
      <c r="G20" s="158">
        <f>SUM(G15:G19)</f>
        <v>12061938.75</v>
      </c>
      <c r="H20" s="86">
        <f>'SOFP  10.18'!C28</f>
        <v>32251938.75</v>
      </c>
      <c r="I20" s="108">
        <f>G20-H20</f>
        <v>-20190000</v>
      </c>
    </row>
  </sheetData>
  <mergeCells count="4">
    <mergeCell ref="A1:G1"/>
    <mergeCell ref="A2:G2"/>
    <mergeCell ref="A3:G3"/>
    <mergeCell ref="A4:G4"/>
  </mergeCells>
  <pageMargins left="0.7" right="0.7" top="0.75" bottom="0.75" header="0.3" footer="0.3"/>
  <pageSetup paperSize="9" scale="9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1A67-8B0E-4452-8AA3-89B912549EC3}">
  <sheetPr>
    <tabColor rgb="FF00B050"/>
  </sheetPr>
  <dimension ref="A1:D41"/>
  <sheetViews>
    <sheetView showGridLines="0" view="pageBreakPreview" topLeftCell="A23" zoomScaleNormal="130" zoomScaleSheetLayoutView="100" workbookViewId="0">
      <selection activeCell="D37" sqref="D37"/>
    </sheetView>
  </sheetViews>
  <sheetFormatPr defaultColWidth="8.6328125" defaultRowHeight="14"/>
  <cols>
    <col min="1" max="1" width="63.453125" style="83" customWidth="1"/>
    <col min="2" max="2" width="22.453125" style="176" customWidth="1"/>
    <col min="3" max="3" width="19.453125" style="177" customWidth="1"/>
    <col min="4" max="16384" width="8.6328125" style="83"/>
  </cols>
  <sheetData>
    <row r="1" spans="1:4" ht="17.5">
      <c r="A1" s="322" t="str">
        <f>'SOCE 10.18'!A1</f>
        <v>Magic Arun Hydropower Private Limitd</v>
      </c>
      <c r="B1" s="322"/>
      <c r="C1" s="322"/>
    </row>
    <row r="2" spans="1:4" ht="13.5">
      <c r="A2" s="324"/>
      <c r="B2" s="324"/>
      <c r="C2" s="324"/>
    </row>
    <row r="3" spans="1:4">
      <c r="A3" s="323" t="s">
        <v>306</v>
      </c>
      <c r="B3" s="323"/>
      <c r="C3" s="323"/>
    </row>
    <row r="4" spans="1:4">
      <c r="A4" s="323" t="str">
        <f>'SOCE 10.18'!A4</f>
        <v xml:space="preserve">For the Year Ended 18 Magh 2082 </v>
      </c>
      <c r="B4" s="323"/>
      <c r="C4" s="323"/>
    </row>
    <row r="5" spans="1:4" ht="13.5">
      <c r="A5" s="88"/>
      <c r="B5" s="159"/>
      <c r="C5" s="160" t="s">
        <v>276</v>
      </c>
    </row>
    <row r="6" spans="1:4" ht="20" customHeight="1" thickBot="1">
      <c r="A6" s="92" t="s">
        <v>1</v>
      </c>
      <c r="B6" s="161" t="str">
        <f>'SOI 10.18'!C7</f>
        <v>Upto 18 Magh 2082</v>
      </c>
      <c r="C6" s="162" t="str">
        <f>'SOI 10.18'!D7</f>
        <v>FY 2081-82</v>
      </c>
    </row>
    <row r="7" spans="1:4" s="86" customFormat="1" ht="20" customHeight="1">
      <c r="A7" s="95" t="s">
        <v>307</v>
      </c>
      <c r="B7" s="163"/>
      <c r="C7" s="164"/>
    </row>
    <row r="8" spans="1:4" s="86" customFormat="1" ht="20" customHeight="1">
      <c r="A8" s="95" t="s">
        <v>300</v>
      </c>
      <c r="B8" s="165">
        <f>'SOI 10.18'!C19</f>
        <v>-164485.25</v>
      </c>
      <c r="C8" s="166">
        <f>'SOI 10.18'!D19</f>
        <v>-177096</v>
      </c>
      <c r="D8" s="86">
        <f>B8-'SOFP  10.18'!J27</f>
        <v>-164485.25</v>
      </c>
    </row>
    <row r="9" spans="1:4" ht="20" customHeight="1">
      <c r="A9" s="88" t="s">
        <v>308</v>
      </c>
      <c r="B9" s="163"/>
      <c r="C9" s="164"/>
    </row>
    <row r="10" spans="1:4" ht="20" customHeight="1">
      <c r="A10" s="167" t="s">
        <v>309</v>
      </c>
      <c r="B10" s="168">
        <f>'SOI 10.18'!C17</f>
        <v>130585.25</v>
      </c>
      <c r="C10" s="169">
        <f>'SOI 10.18'!D17</f>
        <v>147714</v>
      </c>
    </row>
    <row r="11" spans="1:4" ht="20" customHeight="1">
      <c r="A11" s="167" t="s">
        <v>279</v>
      </c>
      <c r="B11" s="168"/>
      <c r="C11" s="169"/>
    </row>
    <row r="12" spans="1:4" ht="20" customHeight="1">
      <c r="A12" s="167" t="s">
        <v>310</v>
      </c>
      <c r="B12" s="168">
        <f>'SOI 10.18'!C16</f>
        <v>0</v>
      </c>
      <c r="C12" s="169">
        <f>'SOI 10.18'!D16</f>
        <v>0</v>
      </c>
    </row>
    <row r="13" spans="1:4" ht="20" customHeight="1">
      <c r="A13" s="167" t="s">
        <v>311</v>
      </c>
      <c r="B13" s="168"/>
      <c r="C13" s="169"/>
    </row>
    <row r="14" spans="1:4" ht="20" customHeight="1">
      <c r="A14" s="167" t="s">
        <v>312</v>
      </c>
      <c r="B14" s="168"/>
      <c r="C14" s="169"/>
    </row>
    <row r="15" spans="1:4" ht="20" customHeight="1">
      <c r="A15" s="170" t="s">
        <v>313</v>
      </c>
      <c r="B15" s="168"/>
      <c r="C15" s="169"/>
    </row>
    <row r="16" spans="1:4" ht="20" customHeight="1">
      <c r="A16" s="167" t="s">
        <v>314</v>
      </c>
      <c r="B16" s="168">
        <f>'SOFP  10.18'!J17+'SOFP  10.18'!J20</f>
        <v>0</v>
      </c>
      <c r="C16" s="169">
        <f>'SOFP  10.18'!E17-'SOFP  10.18'!D17</f>
        <v>6476737</v>
      </c>
    </row>
    <row r="17" spans="1:3" ht="20" customHeight="1">
      <c r="A17" s="167" t="s">
        <v>315</v>
      </c>
      <c r="B17" s="168">
        <f>'SOFP  10.18'!J18</f>
        <v>0</v>
      </c>
      <c r="C17" s="169">
        <f>'SOFP  10.18'!K18</f>
        <v>0</v>
      </c>
    </row>
    <row r="18" spans="1:3" ht="20" customHeight="1">
      <c r="A18" s="167" t="s">
        <v>316</v>
      </c>
      <c r="B18" s="168">
        <f>'SOFP  10.18'!J37</f>
        <v>0</v>
      </c>
      <c r="C18" s="169">
        <f>'SOFP  10.18'!K37</f>
        <v>0</v>
      </c>
    </row>
    <row r="19" spans="1:3" ht="20" customHeight="1">
      <c r="A19" s="167" t="s">
        <v>317</v>
      </c>
      <c r="B19" s="168"/>
      <c r="C19" s="169">
        <f>'SOFP  10.18'!D31-'SOFP  10.18'!E31</f>
        <v>-3591010</v>
      </c>
    </row>
    <row r="20" spans="1:3" ht="20" customHeight="1">
      <c r="A20" s="167" t="s">
        <v>318</v>
      </c>
      <c r="B20" s="103"/>
      <c r="C20" s="171">
        <v>0</v>
      </c>
    </row>
    <row r="21" spans="1:3" s="86" customFormat="1" ht="20" customHeight="1">
      <c r="A21" s="95" t="s">
        <v>319</v>
      </c>
      <c r="B21" s="149">
        <f>SUM(B8:B20)</f>
        <v>-33900</v>
      </c>
      <c r="C21" s="172">
        <f>SUM(C8:C20)</f>
        <v>2856345</v>
      </c>
    </row>
    <row r="22" spans="1:3" ht="20" customHeight="1">
      <c r="A22" s="167" t="s">
        <v>320</v>
      </c>
      <c r="B22" s="163"/>
      <c r="C22" s="169">
        <v>0</v>
      </c>
    </row>
    <row r="23" spans="1:3" ht="20" customHeight="1">
      <c r="A23" s="167" t="s">
        <v>321</v>
      </c>
      <c r="B23" s="101"/>
      <c r="C23" s="171">
        <v>0</v>
      </c>
    </row>
    <row r="24" spans="1:3" s="86" customFormat="1" ht="20" customHeight="1">
      <c r="A24" s="95" t="s">
        <v>322</v>
      </c>
      <c r="B24" s="149">
        <f>SUM(B21:B23)</f>
        <v>-33900</v>
      </c>
      <c r="C24" s="172">
        <f>SUM(C21:C23)</f>
        <v>2856345</v>
      </c>
    </row>
    <row r="25" spans="1:3" s="86" customFormat="1" ht="20" customHeight="1">
      <c r="A25" s="95" t="s">
        <v>323</v>
      </c>
      <c r="B25" s="163"/>
      <c r="C25" s="164"/>
    </row>
    <row r="26" spans="1:3" ht="20" customHeight="1">
      <c r="A26" s="167" t="s">
        <v>324</v>
      </c>
      <c r="B26" s="168"/>
      <c r="C26" s="169">
        <f>-'3.1 10.18'!I8</f>
        <v>0</v>
      </c>
    </row>
    <row r="27" spans="1:3" ht="20" customHeight="1">
      <c r="A27" s="167" t="s">
        <v>325</v>
      </c>
      <c r="B27" s="168">
        <f>'SOFP  10.18'!J12</f>
        <v>0</v>
      </c>
      <c r="C27" s="169">
        <f>-'SOFP  10.18'!D10+'SOFP  10.18'!E10</f>
        <v>0</v>
      </c>
    </row>
    <row r="28" spans="1:3" ht="20" customHeight="1">
      <c r="A28" s="167" t="s">
        <v>326</v>
      </c>
      <c r="B28" s="101">
        <f>-'3.1 10.18'!I15-'[5]3.2'!E17</f>
        <v>0</v>
      </c>
      <c r="C28" s="171">
        <f>-'3.1 10.18'!I10-'[5]3.2'!E12</f>
        <v>-752188</v>
      </c>
    </row>
    <row r="29" spans="1:3" s="86" customFormat="1" ht="20" customHeight="1">
      <c r="A29" s="95" t="s">
        <v>327</v>
      </c>
      <c r="B29" s="149">
        <f>SUM(B25:B28)</f>
        <v>0</v>
      </c>
      <c r="C29" s="172">
        <f>SUM(C25:C28)</f>
        <v>-752188</v>
      </c>
    </row>
    <row r="30" spans="1:3" s="86" customFormat="1" ht="20" customHeight="1">
      <c r="A30" s="95" t="s">
        <v>328</v>
      </c>
      <c r="B30" s="163"/>
      <c r="C30" s="164"/>
    </row>
    <row r="31" spans="1:3" ht="20" customHeight="1">
      <c r="A31" s="167" t="s">
        <v>329</v>
      </c>
      <c r="B31" s="168"/>
      <c r="C31" s="169">
        <f>'SOFP  10.18'!D25-'SOFP  10.18'!E26</f>
        <v>12600000</v>
      </c>
    </row>
    <row r="32" spans="1:3" ht="20" customHeight="1">
      <c r="A32" s="167" t="s">
        <v>330</v>
      </c>
      <c r="B32" s="168">
        <f>'SOFP  10.18'!J36</f>
        <v>0</v>
      </c>
      <c r="C32" s="169">
        <f>'SOFP  10.18'!K36</f>
        <v>0</v>
      </c>
    </row>
    <row r="33" spans="1:3" ht="20" customHeight="1">
      <c r="A33" s="167" t="s">
        <v>286</v>
      </c>
      <c r="B33" s="168">
        <f>-B12</f>
        <v>0</v>
      </c>
      <c r="C33" s="169">
        <f>-C12</f>
        <v>0</v>
      </c>
    </row>
    <row r="34" spans="1:3" ht="20" customHeight="1">
      <c r="A34" s="167" t="s">
        <v>331</v>
      </c>
      <c r="B34" s="101"/>
      <c r="C34" s="171"/>
    </row>
    <row r="35" spans="1:3" s="86" customFormat="1" ht="20" customHeight="1">
      <c r="A35" s="95" t="s">
        <v>332</v>
      </c>
      <c r="B35" s="149">
        <f>SUM(B31:B34)</f>
        <v>0</v>
      </c>
      <c r="C35" s="172">
        <f>SUM(C31:C34)</f>
        <v>12600000</v>
      </c>
    </row>
    <row r="36" spans="1:3" s="86" customFormat="1" ht="20" customHeight="1">
      <c r="A36" s="95" t="s">
        <v>333</v>
      </c>
      <c r="B36" s="165">
        <f>B24+B29+B35</f>
        <v>-33900</v>
      </c>
      <c r="C36" s="166">
        <f>C24+C29+C35</f>
        <v>14704157</v>
      </c>
    </row>
    <row r="37" spans="1:3" s="86" customFormat="1" ht="20" customHeight="1">
      <c r="A37" s="173" t="s">
        <v>334</v>
      </c>
      <c r="B37" s="165">
        <f>'SOFP  10.18'!D19</f>
        <v>891197</v>
      </c>
      <c r="C37" s="166">
        <f>'SOFP  10.18'!E19</f>
        <v>67329</v>
      </c>
    </row>
    <row r="38" spans="1:3" s="86" customFormat="1" ht="20" customHeight="1">
      <c r="A38" s="167" t="s">
        <v>335</v>
      </c>
      <c r="B38" s="165"/>
      <c r="C38" s="166"/>
    </row>
    <row r="39" spans="1:3" s="86" customFormat="1" ht="20" customHeight="1" thickBot="1">
      <c r="A39" s="95" t="s">
        <v>336</v>
      </c>
      <c r="B39" s="174">
        <f>B36+B37</f>
        <v>857297</v>
      </c>
      <c r="C39" s="175">
        <f>C36+C37</f>
        <v>14771486</v>
      </c>
    </row>
    <row r="40" spans="1:3" ht="14.5" thickTop="1">
      <c r="B40" s="176">
        <f>'3.4 to 3.6 ao 10.18'!C58</f>
        <v>12637.349999999977</v>
      </c>
      <c r="C40" s="177">
        <f>'3.4 to 3.6 ao 10.18'!D58</f>
        <v>891197</v>
      </c>
    </row>
    <row r="41" spans="1:3">
      <c r="B41" s="176">
        <f>B39-B40</f>
        <v>844659.65</v>
      </c>
      <c r="C41" s="177">
        <f>C39-C40</f>
        <v>13880289</v>
      </c>
    </row>
  </sheetData>
  <mergeCells count="4">
    <mergeCell ref="A1:C1"/>
    <mergeCell ref="A2:C2"/>
    <mergeCell ref="A3:C3"/>
    <mergeCell ref="A4:C4"/>
  </mergeCells>
  <pageMargins left="0.7" right="0.7" top="0.75" bottom="0.75" header="0.3" footer="0.3"/>
  <pageSetup paperSize="9" scale="82"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0F668-1736-4080-A817-270B10E998E4}">
  <sheetPr>
    <tabColor rgb="FF00B050"/>
  </sheetPr>
  <dimension ref="A1:I77"/>
  <sheetViews>
    <sheetView showGridLines="0" view="pageBreakPreview" topLeftCell="A28" zoomScale="84" zoomScaleNormal="120" zoomScaleSheetLayoutView="100" workbookViewId="0">
      <selection activeCell="I52" sqref="I52"/>
    </sheetView>
  </sheetViews>
  <sheetFormatPr defaultColWidth="8.6328125" defaultRowHeight="12.5"/>
  <cols>
    <col min="1" max="1" width="5.6328125" style="88" customWidth="1"/>
    <col min="2" max="2" width="33.36328125" style="88" customWidth="1"/>
    <col min="3" max="3" width="17.7265625" style="88" bestFit="1" customWidth="1"/>
    <col min="4" max="4" width="13.6328125" style="88" bestFit="1" customWidth="1"/>
    <col min="5" max="5" width="15.36328125" style="88" customWidth="1"/>
    <col min="6" max="6" width="15.90625" style="88" customWidth="1"/>
    <col min="7" max="8" width="13.6328125" style="88" customWidth="1"/>
    <col min="9" max="9" width="14.6328125" style="88" customWidth="1"/>
    <col min="10" max="16384" width="8.6328125" style="88"/>
  </cols>
  <sheetData>
    <row r="1" spans="1:9" ht="17.5">
      <c r="A1" s="322" t="str">
        <f>'SOFP  10.18'!A1</f>
        <v>Magic Arun Hydropower Private Limitd</v>
      </c>
      <c r="B1" s="322"/>
      <c r="C1" s="322"/>
      <c r="D1" s="322"/>
      <c r="E1" s="322"/>
      <c r="F1" s="322"/>
      <c r="G1" s="322"/>
      <c r="H1" s="322"/>
      <c r="I1" s="322"/>
    </row>
    <row r="2" spans="1:9" ht="14">
      <c r="A2" s="323" t="s">
        <v>337</v>
      </c>
      <c r="B2" s="323"/>
      <c r="C2" s="323"/>
      <c r="D2" s="323"/>
      <c r="E2" s="323"/>
      <c r="F2" s="323"/>
      <c r="G2" s="323"/>
      <c r="H2" s="323"/>
      <c r="I2" s="323"/>
    </row>
    <row r="3" spans="1:9" ht="13" thickBot="1">
      <c r="A3" s="189"/>
      <c r="B3" s="189"/>
      <c r="C3" s="189"/>
      <c r="D3" s="189"/>
      <c r="E3" s="189"/>
      <c r="F3" s="189"/>
      <c r="G3" s="189"/>
      <c r="H3" s="189"/>
      <c r="I3" s="190" t="s">
        <v>276</v>
      </c>
    </row>
    <row r="4" spans="1:9">
      <c r="A4" s="173">
        <v>3.1</v>
      </c>
      <c r="B4" s="95" t="s">
        <v>245</v>
      </c>
    </row>
    <row r="5" spans="1:9" s="191" customFormat="1" ht="25">
      <c r="B5" s="192"/>
      <c r="C5" s="193" t="s">
        <v>151</v>
      </c>
      <c r="D5" s="193" t="s">
        <v>409</v>
      </c>
      <c r="E5" s="193" t="s">
        <v>410</v>
      </c>
      <c r="F5" s="193" t="s">
        <v>152</v>
      </c>
      <c r="G5" s="193" t="s">
        <v>411</v>
      </c>
      <c r="H5" s="193" t="s">
        <v>568</v>
      </c>
      <c r="I5" s="193" t="s">
        <v>109</v>
      </c>
    </row>
    <row r="6" spans="1:9" s="191" customFormat="1">
      <c r="B6" s="194" t="s">
        <v>412</v>
      </c>
      <c r="C6" s="192"/>
      <c r="D6" s="192"/>
      <c r="E6" s="192"/>
      <c r="F6" s="192"/>
      <c r="G6" s="192"/>
      <c r="H6" s="192"/>
      <c r="I6" s="192"/>
    </row>
    <row r="7" spans="1:9" s="191" customFormat="1">
      <c r="B7" s="192"/>
      <c r="C7" s="192"/>
      <c r="D7" s="192"/>
      <c r="E7" s="192"/>
      <c r="F7" s="192"/>
      <c r="G7" s="192"/>
      <c r="H7" s="192"/>
      <c r="I7" s="192"/>
    </row>
    <row r="8" spans="1:9">
      <c r="B8" s="95" t="s">
        <v>297</v>
      </c>
      <c r="C8" s="98">
        <v>0</v>
      </c>
      <c r="D8" s="98">
        <v>0</v>
      </c>
      <c r="E8" s="98">
        <v>0</v>
      </c>
      <c r="F8" s="98">
        <v>0</v>
      </c>
      <c r="G8" s="98">
        <v>0</v>
      </c>
      <c r="H8" s="98"/>
      <c r="I8" s="104">
        <f>SUM(C8:G8)</f>
        <v>0</v>
      </c>
    </row>
    <row r="9" spans="1:9">
      <c r="C9" s="98"/>
      <c r="D9" s="98"/>
      <c r="E9" s="98"/>
      <c r="F9" s="98"/>
      <c r="G9" s="98"/>
      <c r="H9" s="98"/>
      <c r="I9" s="104">
        <f>SUM(C9:G9)</f>
        <v>0</v>
      </c>
    </row>
    <row r="10" spans="1:9">
      <c r="B10" s="88" t="s">
        <v>413</v>
      </c>
      <c r="C10" s="98">
        <v>532188</v>
      </c>
      <c r="D10" s="98">
        <v>0</v>
      </c>
      <c r="E10" s="98">
        <v>0</v>
      </c>
      <c r="F10" s="98">
        <v>220000</v>
      </c>
      <c r="G10" s="98">
        <v>0</v>
      </c>
      <c r="H10" s="98"/>
      <c r="I10" s="104">
        <f>SUM(C10:G10)</f>
        <v>752188</v>
      </c>
    </row>
    <row r="11" spans="1:9">
      <c r="B11" s="88" t="s">
        <v>414</v>
      </c>
      <c r="C11" s="101">
        <v>0</v>
      </c>
      <c r="D11" s="101">
        <v>0</v>
      </c>
      <c r="E11" s="101">
        <v>0</v>
      </c>
      <c r="F11" s="101">
        <v>0</v>
      </c>
      <c r="G11" s="101">
        <v>0</v>
      </c>
      <c r="H11" s="101"/>
      <c r="I11" s="103">
        <f>SUM(C11:G11)</f>
        <v>0</v>
      </c>
    </row>
    <row r="12" spans="1:9">
      <c r="C12" s="98"/>
      <c r="D12" s="98"/>
      <c r="E12" s="98"/>
      <c r="F12" s="98"/>
      <c r="G12" s="98"/>
      <c r="H12" s="98"/>
      <c r="I12" s="104"/>
    </row>
    <row r="13" spans="1:9" ht="13" thickBot="1">
      <c r="B13" s="95" t="s">
        <v>415</v>
      </c>
      <c r="C13" s="195">
        <f>SUM(C8:C11)</f>
        <v>532188</v>
      </c>
      <c r="D13" s="195">
        <f t="shared" ref="D13:I13" si="0">SUM(D8:D11)</f>
        <v>0</v>
      </c>
      <c r="E13" s="195">
        <f t="shared" si="0"/>
        <v>0</v>
      </c>
      <c r="F13" s="195">
        <f t="shared" si="0"/>
        <v>220000</v>
      </c>
      <c r="G13" s="195">
        <f t="shared" si="0"/>
        <v>0</v>
      </c>
      <c r="H13" s="195"/>
      <c r="I13" s="195">
        <f t="shared" si="0"/>
        <v>752188</v>
      </c>
    </row>
    <row r="14" spans="1:9" ht="13" thickTop="1">
      <c r="B14" s="95"/>
      <c r="C14" s="98"/>
      <c r="D14" s="98"/>
      <c r="E14" s="98"/>
      <c r="F14" s="98"/>
      <c r="G14" s="98"/>
      <c r="H14" s="98"/>
      <c r="I14" s="104"/>
    </row>
    <row r="15" spans="1:9">
      <c r="B15" s="88" t="s">
        <v>413</v>
      </c>
      <c r="C15" s="98">
        <v>0</v>
      </c>
      <c r="D15" s="98"/>
      <c r="E15" s="98">
        <v>0</v>
      </c>
      <c r="F15" s="98"/>
      <c r="G15" s="98">
        <v>0</v>
      </c>
      <c r="H15" s="98"/>
      <c r="I15" s="104">
        <f>SUM(C15:G15)</f>
        <v>0</v>
      </c>
    </row>
    <row r="16" spans="1:9">
      <c r="B16" s="88" t="s">
        <v>414</v>
      </c>
      <c r="C16" s="101">
        <v>0</v>
      </c>
      <c r="D16" s="101">
        <v>0</v>
      </c>
      <c r="E16" s="101">
        <v>0</v>
      </c>
      <c r="F16" s="101">
        <v>0</v>
      </c>
      <c r="G16" s="101">
        <v>0</v>
      </c>
      <c r="H16" s="101"/>
      <c r="I16" s="103">
        <f>SUM(C16:G16)</f>
        <v>0</v>
      </c>
    </row>
    <row r="17" spans="2:9">
      <c r="C17" s="98"/>
      <c r="D17" s="98"/>
      <c r="E17" s="98"/>
      <c r="F17" s="98"/>
      <c r="G17" s="98"/>
      <c r="H17" s="98"/>
      <c r="I17" s="104"/>
    </row>
    <row r="18" spans="2:9" ht="13" thickBot="1">
      <c r="B18" s="95" t="s">
        <v>593</v>
      </c>
      <c r="C18" s="195">
        <f>SUM(C13:C16)</f>
        <v>532188</v>
      </c>
      <c r="D18" s="195">
        <f t="shared" ref="D18:H18" si="1">SUM(D13:D16)</f>
        <v>0</v>
      </c>
      <c r="E18" s="195">
        <f t="shared" si="1"/>
        <v>0</v>
      </c>
      <c r="F18" s="195">
        <f t="shared" si="1"/>
        <v>220000</v>
      </c>
      <c r="G18" s="195">
        <f t="shared" si="1"/>
        <v>0</v>
      </c>
      <c r="H18" s="195">
        <f t="shared" si="1"/>
        <v>0</v>
      </c>
      <c r="I18" s="195">
        <f>SUM(C18:G18)</f>
        <v>752188</v>
      </c>
    </row>
    <row r="19" spans="2:9" ht="13" thickTop="1">
      <c r="B19" s="95"/>
      <c r="C19" s="89"/>
      <c r="D19" s="89"/>
      <c r="E19" s="89"/>
      <c r="F19" s="89"/>
      <c r="G19" s="89"/>
      <c r="H19" s="89"/>
      <c r="I19" s="96"/>
    </row>
    <row r="20" spans="2:9">
      <c r="B20" s="88" t="s">
        <v>413</v>
      </c>
      <c r="C20" s="89"/>
      <c r="D20" s="89"/>
      <c r="E20" s="89"/>
      <c r="F20" s="89"/>
      <c r="G20" s="89"/>
      <c r="H20" s="89"/>
      <c r="I20" s="96"/>
    </row>
    <row r="21" spans="2:9">
      <c r="B21" s="88" t="s">
        <v>414</v>
      </c>
      <c r="C21" s="101"/>
      <c r="D21" s="101"/>
      <c r="E21" s="101"/>
      <c r="F21" s="101"/>
      <c r="G21" s="101"/>
      <c r="H21" s="101"/>
      <c r="I21" s="103"/>
    </row>
    <row r="22" spans="2:9">
      <c r="C22" s="98"/>
      <c r="D22" s="98"/>
      <c r="E22" s="98"/>
      <c r="F22" s="98"/>
      <c r="G22" s="98"/>
      <c r="H22" s="98"/>
      <c r="I22" s="104"/>
    </row>
    <row r="23" spans="2:9" ht="13" thickBot="1">
      <c r="B23" s="95" t="s">
        <v>597</v>
      </c>
      <c r="C23" s="195">
        <f t="shared" ref="C23:I23" si="2">SUM(C18:C21)</f>
        <v>532188</v>
      </c>
      <c r="D23" s="195">
        <f t="shared" si="2"/>
        <v>0</v>
      </c>
      <c r="E23" s="195">
        <f t="shared" si="2"/>
        <v>0</v>
      </c>
      <c r="F23" s="195">
        <f t="shared" si="2"/>
        <v>220000</v>
      </c>
      <c r="G23" s="195">
        <f t="shared" si="2"/>
        <v>0</v>
      </c>
      <c r="H23" s="195">
        <f t="shared" si="2"/>
        <v>0</v>
      </c>
      <c r="I23" s="195">
        <f t="shared" si="2"/>
        <v>752188</v>
      </c>
    </row>
    <row r="24" spans="2:9" ht="13" thickTop="1">
      <c r="C24" s="89"/>
      <c r="D24" s="89"/>
      <c r="E24" s="89"/>
      <c r="F24" s="89"/>
      <c r="G24" s="89"/>
      <c r="H24" s="89"/>
      <c r="I24" s="96"/>
    </row>
    <row r="25" spans="2:9" s="95" customFormat="1">
      <c r="B25" s="196" t="s">
        <v>416</v>
      </c>
      <c r="C25" s="96"/>
      <c r="D25" s="96"/>
      <c r="E25" s="96"/>
      <c r="F25" s="96"/>
      <c r="G25" s="96"/>
      <c r="H25" s="96"/>
      <c r="I25" s="96"/>
    </row>
    <row r="26" spans="2:9" s="95" customFormat="1">
      <c r="C26" s="96"/>
      <c r="D26" s="96"/>
      <c r="E26" s="96"/>
      <c r="F26" s="96"/>
      <c r="G26" s="96"/>
      <c r="H26" s="96"/>
      <c r="I26" s="96"/>
    </row>
    <row r="27" spans="2:9" s="95" customFormat="1">
      <c r="B27" s="95" t="str">
        <f>B8</f>
        <v>Balance at 1 Shrawan 2081</v>
      </c>
      <c r="C27" s="197">
        <v>0</v>
      </c>
      <c r="D27" s="197">
        <v>0</v>
      </c>
      <c r="E27" s="197">
        <v>0</v>
      </c>
      <c r="F27" s="197">
        <v>0</v>
      </c>
      <c r="G27" s="197">
        <v>0</v>
      </c>
      <c r="H27" s="197"/>
      <c r="I27" s="198">
        <f>SUM(C27:G27)</f>
        <v>0</v>
      </c>
    </row>
    <row r="28" spans="2:9" s="95" customFormat="1">
      <c r="B28" s="88"/>
      <c r="C28" s="89"/>
      <c r="D28" s="89"/>
      <c r="E28" s="89"/>
      <c r="F28" s="89"/>
      <c r="G28" s="89"/>
      <c r="H28" s="89"/>
      <c r="I28" s="96"/>
    </row>
    <row r="29" spans="2:9" s="95" customFormat="1">
      <c r="B29" s="88" t="s">
        <v>417</v>
      </c>
      <c r="C29" s="98">
        <v>133047</v>
      </c>
      <c r="D29" s="98">
        <v>0</v>
      </c>
      <c r="E29" s="98">
        <v>0</v>
      </c>
      <c r="F29" s="98">
        <v>14667</v>
      </c>
      <c r="G29" s="98">
        <v>0</v>
      </c>
      <c r="H29" s="98">
        <v>0</v>
      </c>
      <c r="I29" s="199">
        <f>SUM(C29:H29)</f>
        <v>147714</v>
      </c>
    </row>
    <row r="30" spans="2:9" s="95" customFormat="1">
      <c r="B30" s="88" t="s">
        <v>414</v>
      </c>
      <c r="C30" s="200"/>
      <c r="D30" s="200"/>
      <c r="E30" s="200"/>
      <c r="F30" s="200"/>
      <c r="G30" s="200"/>
      <c r="H30" s="200"/>
      <c r="I30" s="201"/>
    </row>
    <row r="31" spans="2:9" s="95" customFormat="1">
      <c r="B31" s="88"/>
      <c r="C31" s="89"/>
      <c r="D31" s="89"/>
      <c r="E31" s="89"/>
      <c r="F31" s="89"/>
      <c r="G31" s="89"/>
      <c r="H31" s="89"/>
      <c r="I31" s="96"/>
    </row>
    <row r="32" spans="2:9" s="95" customFormat="1" ht="13" thickBot="1">
      <c r="B32" s="95" t="str">
        <f>B13</f>
        <v>Balance at 32 Ashadh 2082</v>
      </c>
      <c r="C32" s="202">
        <f>SUM(C27:C30)</f>
        <v>133047</v>
      </c>
      <c r="D32" s="202">
        <f t="shared" ref="D32:I32" si="3">SUM(D27:D30)</f>
        <v>0</v>
      </c>
      <c r="E32" s="202">
        <f t="shared" si="3"/>
        <v>0</v>
      </c>
      <c r="F32" s="202">
        <f t="shared" si="3"/>
        <v>14667</v>
      </c>
      <c r="G32" s="202">
        <f t="shared" si="3"/>
        <v>0</v>
      </c>
      <c r="H32" s="202">
        <f t="shared" si="3"/>
        <v>0</v>
      </c>
      <c r="I32" s="202">
        <f t="shared" si="3"/>
        <v>147714</v>
      </c>
    </row>
    <row r="33" spans="2:9" s="95" customFormat="1" ht="13" thickTop="1">
      <c r="C33" s="89"/>
      <c r="D33" s="89"/>
      <c r="E33" s="89"/>
      <c r="F33" s="89"/>
      <c r="G33" s="89"/>
      <c r="H33" s="89"/>
      <c r="I33" s="96"/>
    </row>
    <row r="34" spans="2:9" s="95" customFormat="1">
      <c r="B34" s="88" t="s">
        <v>417</v>
      </c>
      <c r="C34" s="98">
        <f>(C13-C29)*25%</f>
        <v>99785.25</v>
      </c>
      <c r="D34" s="98"/>
      <c r="E34" s="98">
        <v>0</v>
      </c>
      <c r="F34" s="307">
        <v>30800</v>
      </c>
      <c r="G34" s="98">
        <v>0</v>
      </c>
      <c r="H34" s="307">
        <f>(H18-H32)*15%</f>
        <v>0</v>
      </c>
      <c r="I34" s="199">
        <f>SUM(C34:G34)</f>
        <v>130585.25</v>
      </c>
    </row>
    <row r="35" spans="2:9" s="95" customFormat="1">
      <c r="B35" s="88" t="s">
        <v>414</v>
      </c>
      <c r="C35" s="200"/>
      <c r="D35" s="200"/>
      <c r="E35" s="200"/>
      <c r="F35" s="200"/>
      <c r="G35" s="200"/>
      <c r="H35" s="200"/>
      <c r="I35" s="201"/>
    </row>
    <row r="36" spans="2:9" s="95" customFormat="1">
      <c r="B36" s="88"/>
      <c r="C36" s="89"/>
      <c r="D36" s="89"/>
      <c r="E36" s="89"/>
      <c r="F36" s="89"/>
      <c r="G36" s="89"/>
      <c r="H36" s="89"/>
      <c r="I36" s="96"/>
    </row>
    <row r="37" spans="2:9" s="95" customFormat="1" ht="13" thickBot="1">
      <c r="B37" s="95" t="str">
        <f>B18</f>
        <v>Balance at 18 Magh 2082</v>
      </c>
      <c r="C37" s="202">
        <f>C34+C32</f>
        <v>232832.25</v>
      </c>
      <c r="D37" s="202">
        <f>SUM(D32:D35)</f>
        <v>0</v>
      </c>
      <c r="E37" s="202">
        <f>SUM(E32:E35)</f>
        <v>0</v>
      </c>
      <c r="F37" s="202">
        <f>F34+F32</f>
        <v>45467</v>
      </c>
      <c r="G37" s="202">
        <f>SUM(G32:G35)</f>
        <v>0</v>
      </c>
      <c r="H37" s="202">
        <f>SUM(H32:H35)</f>
        <v>0</v>
      </c>
      <c r="I37" s="202">
        <f>SUM(C37:G37)</f>
        <v>278299.25</v>
      </c>
    </row>
    <row r="38" spans="2:9" s="95" customFormat="1" ht="13" thickTop="1">
      <c r="C38" s="114"/>
      <c r="D38" s="114"/>
      <c r="E38" s="114"/>
      <c r="F38" s="114"/>
      <c r="G38" s="114"/>
      <c r="H38" s="114"/>
      <c r="I38" s="114"/>
    </row>
    <row r="39" spans="2:9" s="95" customFormat="1">
      <c r="B39" s="88" t="s">
        <v>417</v>
      </c>
      <c r="C39" s="114"/>
      <c r="D39" s="114"/>
      <c r="E39" s="114"/>
      <c r="F39" s="114"/>
      <c r="G39" s="114"/>
      <c r="H39" s="114"/>
      <c r="I39" s="114"/>
    </row>
    <row r="40" spans="2:9" s="95" customFormat="1">
      <c r="B40" s="88" t="s">
        <v>414</v>
      </c>
      <c r="C40" s="200"/>
      <c r="D40" s="200"/>
      <c r="E40" s="200"/>
      <c r="F40" s="200"/>
      <c r="G40" s="200"/>
      <c r="H40" s="200"/>
      <c r="I40" s="201"/>
    </row>
    <row r="41" spans="2:9" s="95" customFormat="1">
      <c r="C41" s="89"/>
      <c r="D41" s="89"/>
      <c r="E41" s="89"/>
      <c r="F41" s="89"/>
      <c r="G41" s="89"/>
      <c r="H41" s="89"/>
      <c r="I41" s="96"/>
    </row>
    <row r="42" spans="2:9" s="95" customFormat="1" ht="13" thickBot="1">
      <c r="B42" s="95" t="s">
        <v>597</v>
      </c>
      <c r="C42" s="202">
        <f t="shared" ref="C42:I42" si="4">C39+C37</f>
        <v>232832.25</v>
      </c>
      <c r="D42" s="202">
        <f t="shared" si="4"/>
        <v>0</v>
      </c>
      <c r="E42" s="202">
        <f t="shared" si="4"/>
        <v>0</v>
      </c>
      <c r="F42" s="202">
        <f t="shared" si="4"/>
        <v>45467</v>
      </c>
      <c r="G42" s="202">
        <f t="shared" si="4"/>
        <v>0</v>
      </c>
      <c r="H42" s="202">
        <f t="shared" si="4"/>
        <v>0</v>
      </c>
      <c r="I42" s="202">
        <f t="shared" si="4"/>
        <v>278299.25</v>
      </c>
    </row>
    <row r="43" spans="2:9" s="95" customFormat="1" ht="13" thickTop="1">
      <c r="C43" s="96"/>
      <c r="D43" s="96"/>
      <c r="E43" s="96"/>
      <c r="F43" s="96"/>
      <c r="G43" s="96"/>
      <c r="H43" s="96"/>
      <c r="I43" s="96"/>
    </row>
    <row r="44" spans="2:9" s="95" customFormat="1">
      <c r="B44" s="203" t="s">
        <v>418</v>
      </c>
      <c r="C44" s="96"/>
      <c r="D44" s="96"/>
      <c r="E44" s="96"/>
      <c r="F44" s="96"/>
      <c r="G44" s="96"/>
      <c r="H44" s="96"/>
      <c r="I44" s="96"/>
    </row>
    <row r="45" spans="2:9" s="95" customFormat="1" hidden="1">
      <c r="C45" s="96"/>
      <c r="D45" s="96"/>
      <c r="E45" s="96"/>
      <c r="F45" s="96"/>
      <c r="G45" s="96"/>
      <c r="H45" s="96"/>
      <c r="I45" s="96"/>
    </row>
    <row r="46" spans="2:9" s="95" customFormat="1" ht="13" hidden="1" thickBot="1">
      <c r="B46" s="204" t="s">
        <v>419</v>
      </c>
      <c r="C46" s="202">
        <f t="shared" ref="C46:I46" si="5">C8-C27</f>
        <v>0</v>
      </c>
      <c r="D46" s="202">
        <f t="shared" si="5"/>
        <v>0</v>
      </c>
      <c r="E46" s="202">
        <f t="shared" si="5"/>
        <v>0</v>
      </c>
      <c r="F46" s="202">
        <f t="shared" si="5"/>
        <v>0</v>
      </c>
      <c r="G46" s="202">
        <f t="shared" si="5"/>
        <v>0</v>
      </c>
      <c r="H46" s="202">
        <f t="shared" si="5"/>
        <v>0</v>
      </c>
      <c r="I46" s="202">
        <f t="shared" si="5"/>
        <v>0</v>
      </c>
    </row>
    <row r="47" spans="2:9" s="95" customFormat="1">
      <c r="B47" s="204"/>
      <c r="C47" s="96"/>
      <c r="D47" s="96"/>
      <c r="E47" s="96"/>
      <c r="F47" s="96"/>
      <c r="G47" s="96"/>
      <c r="H47" s="96"/>
      <c r="I47" s="96"/>
    </row>
    <row r="48" spans="2:9" s="95" customFormat="1" ht="13" thickBot="1">
      <c r="B48" s="204" t="s">
        <v>420</v>
      </c>
      <c r="C48" s="202">
        <f>C13-C32</f>
        <v>399141</v>
      </c>
      <c r="D48" s="202">
        <f t="shared" ref="D48:H48" si="6">D13-D32</f>
        <v>0</v>
      </c>
      <c r="E48" s="202">
        <f t="shared" si="6"/>
        <v>0</v>
      </c>
      <c r="F48" s="202">
        <f t="shared" si="6"/>
        <v>205333</v>
      </c>
      <c r="G48" s="202">
        <f t="shared" si="6"/>
        <v>0</v>
      </c>
      <c r="H48" s="202">
        <f t="shared" si="6"/>
        <v>0</v>
      </c>
      <c r="I48" s="205">
        <f>SUM(C48:G48)</f>
        <v>604474</v>
      </c>
    </row>
    <row r="49" spans="2:9" s="95" customFormat="1" ht="13" thickTop="1">
      <c r="B49" s="204"/>
      <c r="C49" s="96"/>
      <c r="D49" s="96"/>
      <c r="E49" s="96"/>
      <c r="F49" s="96"/>
      <c r="G49" s="96"/>
      <c r="H49" s="96"/>
      <c r="I49" s="96"/>
    </row>
    <row r="50" spans="2:9" ht="13" thickBot="1">
      <c r="B50" s="206" t="s">
        <v>595</v>
      </c>
      <c r="C50" s="205">
        <f>C18-C37</f>
        <v>299355.75</v>
      </c>
      <c r="D50" s="205">
        <f t="shared" ref="D50:H50" si="7">D18-D37</f>
        <v>0</v>
      </c>
      <c r="E50" s="205">
        <f t="shared" si="7"/>
        <v>0</v>
      </c>
      <c r="F50" s="205">
        <f t="shared" si="7"/>
        <v>174533</v>
      </c>
      <c r="G50" s="205">
        <f t="shared" si="7"/>
        <v>0</v>
      </c>
      <c r="H50" s="205">
        <f t="shared" si="7"/>
        <v>0</v>
      </c>
      <c r="I50" s="205">
        <f>SUM(C50:G50)</f>
        <v>473888.75</v>
      </c>
    </row>
    <row r="51" spans="2:9" ht="13" thickTop="1">
      <c r="B51" s="206"/>
    </row>
    <row r="52" spans="2:9" ht="13" thickBot="1">
      <c r="B52" s="206" t="s">
        <v>590</v>
      </c>
      <c r="C52" s="205">
        <f t="shared" ref="C52:I52" si="8">C23-C42</f>
        <v>299355.75</v>
      </c>
      <c r="D52" s="205">
        <f t="shared" si="8"/>
        <v>0</v>
      </c>
      <c r="E52" s="205">
        <f t="shared" si="8"/>
        <v>0</v>
      </c>
      <c r="F52" s="205">
        <f t="shared" si="8"/>
        <v>174533</v>
      </c>
      <c r="G52" s="205">
        <f t="shared" si="8"/>
        <v>0</v>
      </c>
      <c r="H52" s="205">
        <f t="shared" si="8"/>
        <v>0</v>
      </c>
      <c r="I52" s="205">
        <f t="shared" si="8"/>
        <v>473888.75</v>
      </c>
    </row>
    <row r="53" spans="2:9" ht="13" thickTop="1">
      <c r="B53" s="206"/>
    </row>
    <row r="54" spans="2:9">
      <c r="B54" s="95" t="s">
        <v>421</v>
      </c>
    </row>
    <row r="55" spans="2:9" ht="28" customHeight="1" thickBot="1">
      <c r="B55" s="207" t="s">
        <v>1</v>
      </c>
      <c r="C55" s="325" t="s">
        <v>574</v>
      </c>
      <c r="D55" s="325"/>
      <c r="E55" s="325" t="s">
        <v>423</v>
      </c>
      <c r="F55" s="325"/>
      <c r="G55" s="325">
        <v>2080.0810000000001</v>
      </c>
      <c r="H55" s="325"/>
      <c r="I55" s="325"/>
    </row>
    <row r="56" spans="2:9" ht="13" thickTop="1">
      <c r="B56" s="88" t="s">
        <v>422</v>
      </c>
      <c r="C56" s="326">
        <f>C76</f>
        <v>17094931.352020204</v>
      </c>
      <c r="D56" s="326"/>
      <c r="E56" s="326">
        <f>D76</f>
        <v>1280455.2020202021</v>
      </c>
      <c r="F56" s="326"/>
      <c r="G56" s="326">
        <f>F76</f>
        <v>15814476.15</v>
      </c>
      <c r="H56" s="326"/>
      <c r="I56" s="326"/>
    </row>
    <row r="57" spans="2:9">
      <c r="B57" s="173"/>
      <c r="C57" s="173"/>
      <c r="D57" s="173"/>
      <c r="E57" s="173"/>
    </row>
    <row r="58" spans="2:9" ht="25.5" thickBot="1">
      <c r="B58" s="209"/>
      <c r="C58" s="208" t="s">
        <v>596</v>
      </c>
      <c r="D58" s="325" t="s">
        <v>423</v>
      </c>
      <c r="E58" s="325"/>
      <c r="F58" s="208" t="s">
        <v>574</v>
      </c>
      <c r="G58" s="209"/>
      <c r="H58" s="209"/>
      <c r="I58" s="209"/>
    </row>
    <row r="59" spans="2:9" ht="15" thickTop="1">
      <c r="B59" s="44" t="s">
        <v>155</v>
      </c>
      <c r="C59" s="210">
        <f>F59+D59</f>
        <v>8000000</v>
      </c>
      <c r="D59" s="211">
        <f>'TB update upto 10.18'!I59</f>
        <v>0</v>
      </c>
      <c r="F59" s="48">
        <f>'TB update upto 10.18'!G59</f>
        <v>8000000</v>
      </c>
      <c r="G59" s="211"/>
    </row>
    <row r="60" spans="2:9" ht="14.5">
      <c r="B60" s="41" t="s">
        <v>63</v>
      </c>
      <c r="C60" s="210">
        <f>F60+D60</f>
        <v>2000000</v>
      </c>
      <c r="D60" s="211">
        <f>'TB update upto 10.18'!I60</f>
        <v>0</v>
      </c>
      <c r="F60" s="48">
        <f>'TB update upto 10.18'!G60</f>
        <v>2000000</v>
      </c>
      <c r="G60" s="211"/>
    </row>
    <row r="61" spans="2:9" ht="14.5">
      <c r="B61" s="44" t="s">
        <v>156</v>
      </c>
      <c r="C61" s="210">
        <f>F61+D61</f>
        <v>300000</v>
      </c>
      <c r="D61" s="211">
        <f>'TB update upto 10.18'!I61</f>
        <v>0</v>
      </c>
      <c r="F61" s="48">
        <f>'TB update upto 10.18'!G61</f>
        <v>300000</v>
      </c>
      <c r="G61" s="211"/>
    </row>
    <row r="62" spans="2:9" ht="14.5">
      <c r="B62" s="44" t="s">
        <v>157</v>
      </c>
      <c r="C62" s="210">
        <f>F62+D62</f>
        <v>102000</v>
      </c>
      <c r="D62" s="211">
        <f>'TB update upto 10.18'!I62</f>
        <v>0</v>
      </c>
      <c r="F62" s="48">
        <f>'TB update upto 10.18'!G62</f>
        <v>102000</v>
      </c>
      <c r="G62" s="211"/>
    </row>
    <row r="63" spans="2:9" ht="14.5">
      <c r="B63" s="44" t="s">
        <v>158</v>
      </c>
      <c r="C63" s="210">
        <f t="shared" ref="C63:C75" si="9">F63+D63</f>
        <v>275027.15000000002</v>
      </c>
      <c r="D63" s="211">
        <f>'TB update upto 10.18'!I63</f>
        <v>370</v>
      </c>
      <c r="F63" s="48">
        <f>'TB update upto 10.18'!G63</f>
        <v>274657.15000000002</v>
      </c>
      <c r="G63" s="211"/>
    </row>
    <row r="64" spans="2:9" ht="14.5">
      <c r="B64" s="44" t="s">
        <v>159</v>
      </c>
      <c r="C64" s="210">
        <f t="shared" si="9"/>
        <v>197000</v>
      </c>
      <c r="D64" s="211">
        <f>'TB update upto 10.18'!I64</f>
        <v>0</v>
      </c>
      <c r="F64" s="48">
        <f>'TB update upto 10.18'!G64</f>
        <v>197000</v>
      </c>
      <c r="G64" s="211"/>
    </row>
    <row r="65" spans="2:7" ht="14.5">
      <c r="B65" s="44" t="s">
        <v>160</v>
      </c>
      <c r="C65" s="210">
        <f t="shared" si="9"/>
        <v>3917020.2020202018</v>
      </c>
      <c r="D65" s="211">
        <f>'TB update upto 10.18'!I65</f>
        <v>927020.20202020206</v>
      </c>
      <c r="F65" s="48">
        <f>'TB update upto 10.18'!G65</f>
        <v>2990000</v>
      </c>
      <c r="G65" s="211"/>
    </row>
    <row r="66" spans="2:7" ht="14.5">
      <c r="B66" s="44" t="s">
        <v>161</v>
      </c>
      <c r="C66" s="210">
        <f t="shared" si="9"/>
        <v>808129</v>
      </c>
      <c r="D66" s="211">
        <f>'TB update upto 10.18'!I66</f>
        <v>0</v>
      </c>
      <c r="F66" s="48">
        <f>'TB update upto 10.18'!G66</f>
        <v>808129</v>
      </c>
      <c r="G66" s="211"/>
    </row>
    <row r="67" spans="2:7" ht="14.5">
      <c r="B67" s="44" t="s">
        <v>162</v>
      </c>
      <c r="C67" s="210">
        <f t="shared" si="9"/>
        <v>660000</v>
      </c>
      <c r="D67" s="211">
        <f>'TB update upto 10.18'!I67</f>
        <v>0</v>
      </c>
      <c r="F67" s="48">
        <f>'TB update upto 10.18'!G67</f>
        <v>660000</v>
      </c>
      <c r="G67" s="211"/>
    </row>
    <row r="68" spans="2:7" ht="14.5">
      <c r="B68" s="44" t="s">
        <v>163</v>
      </c>
      <c r="C68" s="210">
        <f t="shared" si="9"/>
        <v>240000</v>
      </c>
      <c r="D68" s="211">
        <f>'TB update upto 10.18'!I68</f>
        <v>0</v>
      </c>
      <c r="F68" s="48">
        <f>'TB update upto 10.18'!G68</f>
        <v>240000</v>
      </c>
      <c r="G68" s="211"/>
    </row>
    <row r="69" spans="2:7" ht="14.5">
      <c r="B69" s="44" t="s">
        <v>164</v>
      </c>
      <c r="C69" s="210">
        <f t="shared" si="9"/>
        <v>37700</v>
      </c>
      <c r="D69" s="211">
        <f>'TB update upto 10.18'!I69</f>
        <v>0</v>
      </c>
      <c r="F69" s="48">
        <f>'TB update upto 10.18'!G69</f>
        <v>37700</v>
      </c>
      <c r="G69" s="211"/>
    </row>
    <row r="70" spans="2:7" ht="14.5">
      <c r="B70" s="44" t="s">
        <v>165</v>
      </c>
      <c r="C70" s="210">
        <f t="shared" si="9"/>
        <v>60880</v>
      </c>
      <c r="D70" s="211">
        <f>'TB update upto 10.18'!I70</f>
        <v>11565</v>
      </c>
      <c r="F70" s="48">
        <f>'TB update upto 10.18'!G70</f>
        <v>49315</v>
      </c>
      <c r="G70" s="211"/>
    </row>
    <row r="71" spans="2:7" ht="14.5">
      <c r="B71" s="44" t="s">
        <v>166</v>
      </c>
      <c r="C71" s="210">
        <f t="shared" si="9"/>
        <v>24445</v>
      </c>
      <c r="D71" s="211">
        <f>'TB update upto 10.18'!I71</f>
        <v>2500</v>
      </c>
      <c r="F71" s="48">
        <f>'TB update upto 10.18'!G71</f>
        <v>21945</v>
      </c>
      <c r="G71" s="211"/>
    </row>
    <row r="72" spans="2:7" ht="14.5">
      <c r="B72" s="44" t="s">
        <v>167</v>
      </c>
      <c r="C72" s="210">
        <f t="shared" si="9"/>
        <v>85230</v>
      </c>
      <c r="D72" s="211">
        <f>'TB update upto 10.18'!I72</f>
        <v>0</v>
      </c>
      <c r="F72" s="48">
        <f>'TB update upto 10.18'!G72</f>
        <v>85230</v>
      </c>
      <c r="G72" s="211"/>
    </row>
    <row r="73" spans="2:7" ht="14.5">
      <c r="B73" s="44" t="s">
        <v>49</v>
      </c>
      <c r="C73" s="210">
        <f t="shared" si="9"/>
        <v>48500</v>
      </c>
      <c r="D73" s="211">
        <f>'TB update upto 10.18'!I73</f>
        <v>0</v>
      </c>
      <c r="F73" s="48">
        <f>'TB update upto 10.18'!G73</f>
        <v>48500</v>
      </c>
      <c r="G73" s="211"/>
    </row>
    <row r="74" spans="2:7" ht="14.5">
      <c r="B74" s="41" t="s">
        <v>91</v>
      </c>
      <c r="C74" s="210">
        <f t="shared" si="9"/>
        <v>339000</v>
      </c>
      <c r="D74" s="211">
        <f>'TB update upto 10.18'!I74</f>
        <v>339000</v>
      </c>
      <c r="F74" s="48">
        <f>'TB update upto 10.18'!G74</f>
        <v>0</v>
      </c>
      <c r="G74" s="211"/>
    </row>
    <row r="75" spans="2:7" ht="14.5">
      <c r="B75" s="41" t="s">
        <v>105</v>
      </c>
      <c r="C75" s="210">
        <f t="shared" si="9"/>
        <v>0</v>
      </c>
      <c r="D75" s="211">
        <f>'TB update upto 10.18'!I75</f>
        <v>0</v>
      </c>
      <c r="F75" s="48">
        <f>'TB update upto 10.18'!G75</f>
        <v>0</v>
      </c>
      <c r="G75" s="211"/>
    </row>
    <row r="76" spans="2:7" ht="13" thickBot="1">
      <c r="C76" s="212">
        <f>SUM(C59:C75)</f>
        <v>17094931.352020204</v>
      </c>
      <c r="D76" s="212">
        <f>SUM(D59:D75)</f>
        <v>1280455.2020202021</v>
      </c>
      <c r="E76" s="212"/>
      <c r="F76" s="212">
        <f>SUM(F59:F75)</f>
        <v>15814476.15</v>
      </c>
    </row>
    <row r="77" spans="2:7" ht="13" thickTop="1"/>
  </sheetData>
  <mergeCells count="9">
    <mergeCell ref="D58:E58"/>
    <mergeCell ref="A1:I1"/>
    <mergeCell ref="A2:I2"/>
    <mergeCell ref="C55:D55"/>
    <mergeCell ref="E55:F55"/>
    <mergeCell ref="G55:I55"/>
    <mergeCell ref="C56:D56"/>
    <mergeCell ref="E56:F56"/>
    <mergeCell ref="G56:I56"/>
  </mergeCells>
  <pageMargins left="0.7" right="0.7" top="0.75" bottom="0.75" header="0.3" footer="0.3"/>
  <pageSetup paperSize="9" scale="64"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C47DB-201E-4747-AC63-810E17CC0BC6}">
  <sheetPr>
    <tabColor theme="6" tint="0.79998168889431442"/>
  </sheetPr>
  <dimension ref="B1:Q203"/>
  <sheetViews>
    <sheetView workbookViewId="0">
      <pane xSplit="2" ySplit="3" topLeftCell="G96" activePane="bottomRight" state="frozen"/>
      <selection pane="topRight" activeCell="C1" sqref="C1"/>
      <selection pane="bottomLeft" activeCell="A4" sqref="A4"/>
      <selection pane="bottomRight" activeCell="K108" sqref="K108"/>
    </sheetView>
  </sheetViews>
  <sheetFormatPr defaultRowHeight="14.5"/>
  <cols>
    <col min="2" max="2" width="42.90625" bestFit="1" customWidth="1"/>
    <col min="3" max="3" width="18.90625" bestFit="1" customWidth="1"/>
    <col min="4" max="4" width="13.81640625" bestFit="1" customWidth="1"/>
    <col min="5" max="5" width="14.90625" style="10" bestFit="1" customWidth="1"/>
    <col min="6" max="6" width="13.81640625" style="10" bestFit="1" customWidth="1"/>
    <col min="7" max="7" width="18.1796875" bestFit="1" customWidth="1"/>
    <col min="8" max="8" width="17.81640625" bestFit="1" customWidth="1"/>
    <col min="9" max="9" width="18.1796875" style="56" bestFit="1" customWidth="1"/>
    <col min="10" max="10" width="18.08984375" style="11" bestFit="1" customWidth="1"/>
    <col min="11" max="11" width="18.1796875" bestFit="1" customWidth="1"/>
    <col min="12" max="12" width="11.1796875" bestFit="1" customWidth="1"/>
    <col min="13" max="13" width="18.1796875" bestFit="1" customWidth="1"/>
    <col min="14" max="14" width="9.6328125" customWidth="1"/>
    <col min="15" max="15" width="18.1796875" bestFit="1" customWidth="1"/>
    <col min="16" max="16" width="11.1796875" bestFit="1" customWidth="1"/>
  </cols>
  <sheetData>
    <row r="1" spans="2:16">
      <c r="E1" s="10">
        <f>E108-F108</f>
        <v>0</v>
      </c>
    </row>
    <row r="2" spans="2:16">
      <c r="B2" s="26" t="s">
        <v>1</v>
      </c>
      <c r="C2" s="27" t="s">
        <v>569</v>
      </c>
      <c r="D2" s="28" t="s">
        <v>202</v>
      </c>
      <c r="E2" s="27" t="s">
        <v>111</v>
      </c>
      <c r="F2" s="29"/>
      <c r="G2" s="27" t="s">
        <v>570</v>
      </c>
      <c r="H2" s="30" t="s">
        <v>570</v>
      </c>
      <c r="I2" s="57" t="s">
        <v>203</v>
      </c>
      <c r="J2" s="11" t="s">
        <v>203</v>
      </c>
      <c r="K2" s="27" t="s">
        <v>205</v>
      </c>
      <c r="M2" s="321" t="s">
        <v>207</v>
      </c>
      <c r="N2" s="321"/>
      <c r="O2" t="s">
        <v>208</v>
      </c>
      <c r="P2" t="s">
        <v>209</v>
      </c>
    </row>
    <row r="3" spans="2:16">
      <c r="B3" s="31"/>
      <c r="C3" s="32" t="s">
        <v>2</v>
      </c>
      <c r="D3" s="33" t="s">
        <v>3</v>
      </c>
      <c r="E3" s="32" t="s">
        <v>2</v>
      </c>
      <c r="F3" s="34" t="s">
        <v>3</v>
      </c>
      <c r="G3" s="32" t="s">
        <v>2</v>
      </c>
      <c r="H3" s="35" t="s">
        <v>3</v>
      </c>
      <c r="I3" s="58" t="s">
        <v>190</v>
      </c>
      <c r="J3" s="11" t="s">
        <v>204</v>
      </c>
      <c r="K3" s="32" t="s">
        <v>206</v>
      </c>
      <c r="L3" t="s">
        <v>204</v>
      </c>
      <c r="M3" s="32" t="s">
        <v>206</v>
      </c>
      <c r="N3" t="s">
        <v>3</v>
      </c>
      <c r="O3" s="32" t="s">
        <v>206</v>
      </c>
      <c r="P3" t="s">
        <v>204</v>
      </c>
    </row>
    <row r="4" spans="2:16">
      <c r="B4" s="36" t="s">
        <v>113</v>
      </c>
      <c r="C4" s="37">
        <v>373575.67</v>
      </c>
      <c r="D4" s="33"/>
      <c r="E4" s="37"/>
      <c r="F4" s="38"/>
      <c r="G4" s="37">
        <f>C4-D4+E4-F4</f>
        <v>373575.67</v>
      </c>
      <c r="H4" s="35"/>
      <c r="I4" s="59"/>
      <c r="K4" s="37">
        <f>G4-H4+I4-J4</f>
        <v>373575.67</v>
      </c>
      <c r="M4" s="37"/>
      <c r="O4" s="37">
        <f>K4-L4+M4-N4</f>
        <v>373575.67</v>
      </c>
    </row>
    <row r="5" spans="2:16">
      <c r="B5" s="36" t="s">
        <v>114</v>
      </c>
      <c r="C5" s="39"/>
      <c r="D5" s="40"/>
      <c r="E5" s="39"/>
      <c r="F5" s="38"/>
      <c r="G5" s="39"/>
      <c r="H5" s="35"/>
      <c r="I5" s="60"/>
      <c r="K5" s="39"/>
      <c r="M5" s="39"/>
      <c r="O5" s="39"/>
    </row>
    <row r="6" spans="2:16">
      <c r="B6" s="41" t="s">
        <v>115</v>
      </c>
      <c r="C6" s="42"/>
      <c r="D6" s="43"/>
      <c r="E6" s="42"/>
      <c r="F6" s="38"/>
      <c r="G6" s="42"/>
      <c r="H6" s="35"/>
      <c r="I6" s="61">
        <f>'TB 10.18 to 03.15'!B9</f>
        <v>0</v>
      </c>
      <c r="J6" s="11">
        <f>'TB 10.18 to 03.15'!C9</f>
        <v>15000000</v>
      </c>
      <c r="K6" s="42"/>
      <c r="L6" s="336">
        <f>H6-G6+J6-I6</f>
        <v>15000000</v>
      </c>
      <c r="M6" s="42"/>
      <c r="O6" s="42"/>
      <c r="P6" s="54">
        <f>L6-K6+N6-M6</f>
        <v>15000000</v>
      </c>
    </row>
    <row r="7" spans="2:16">
      <c r="B7" s="41" t="s">
        <v>116</v>
      </c>
      <c r="C7" s="42"/>
      <c r="D7" s="43"/>
      <c r="E7" s="42"/>
      <c r="F7" s="38"/>
      <c r="G7" s="42"/>
      <c r="H7" s="35"/>
      <c r="I7" s="61">
        <f>'TB 10.18 to 03.15'!B10</f>
        <v>0</v>
      </c>
      <c r="J7" s="11">
        <f>'TB 10.18 to 03.15'!C10+D137</f>
        <v>25000000</v>
      </c>
      <c r="K7" s="42"/>
      <c r="L7" s="336">
        <f>H7-G7+J7-I7</f>
        <v>25000000</v>
      </c>
      <c r="M7" s="42"/>
      <c r="O7" s="42"/>
      <c r="P7" s="54">
        <f t="shared" ref="P7:P9" si="0">L7-K7+N7-M7</f>
        <v>25000000</v>
      </c>
    </row>
    <row r="8" spans="2:16">
      <c r="B8" s="41" t="s">
        <v>117</v>
      </c>
      <c r="C8" s="42"/>
      <c r="D8" s="43"/>
      <c r="E8" s="42"/>
      <c r="F8" s="38"/>
      <c r="G8" s="42"/>
      <c r="H8" s="35"/>
      <c r="I8" s="61">
        <f>'TB 10.18 to 03.15'!B21</f>
        <v>0</v>
      </c>
      <c r="J8" s="11">
        <f>'TB 10.18 to 03.15'!C21</f>
        <v>1500000</v>
      </c>
      <c r="K8" s="42"/>
      <c r="L8" s="336">
        <f>H8-G8+J8-I8</f>
        <v>1500000</v>
      </c>
      <c r="M8" s="42"/>
      <c r="O8" s="42"/>
      <c r="P8" s="54">
        <f t="shared" si="0"/>
        <v>1500000</v>
      </c>
    </row>
    <row r="9" spans="2:16">
      <c r="B9" s="41" t="s">
        <v>118</v>
      </c>
      <c r="C9" s="42"/>
      <c r="D9" s="43"/>
      <c r="E9" s="42"/>
      <c r="F9" s="38"/>
      <c r="G9" s="42"/>
      <c r="H9" s="35"/>
      <c r="I9" s="61">
        <f>'TB 10.18 to 03.15'!B22</f>
        <v>0</v>
      </c>
      <c r="J9" s="11">
        <f>'TB 10.18 to 03.15'!C22</f>
        <v>2500000</v>
      </c>
      <c r="K9" s="42"/>
      <c r="L9" s="336">
        <f>H9-G9+J9-I9</f>
        <v>2500000</v>
      </c>
      <c r="M9" s="42"/>
      <c r="O9" s="42"/>
      <c r="P9" s="54">
        <f t="shared" si="0"/>
        <v>2500000</v>
      </c>
    </row>
    <row r="10" spans="2:16">
      <c r="B10" s="44" t="s">
        <v>11</v>
      </c>
      <c r="C10" s="39"/>
      <c r="D10" s="45">
        <v>3200000</v>
      </c>
      <c r="E10" s="39">
        <f>'TB 2082.04.01-10.18'!D6</f>
        <v>2310000</v>
      </c>
      <c r="F10" s="38">
        <f>'TB 2082.04.01-10.18'!E6</f>
        <v>0</v>
      </c>
      <c r="G10" s="39"/>
      <c r="H10" s="313">
        <f>D10-C10+F10-E10</f>
        <v>890000</v>
      </c>
      <c r="I10" s="60">
        <f>'TB 10.18 to 03.15'!B7</f>
        <v>2380000</v>
      </c>
      <c r="J10" s="11">
        <f>'TB 10.18 to 03.15'!C7</f>
        <v>0</v>
      </c>
      <c r="K10" s="334">
        <f t="shared" ref="K10" si="1">G10-H10+I10-J10</f>
        <v>1490000</v>
      </c>
      <c r="L10" s="54"/>
      <c r="M10" s="39"/>
      <c r="O10" s="37">
        <f>K10-L10+M10-N10</f>
        <v>1490000</v>
      </c>
    </row>
    <row r="11" spans="2:16">
      <c r="B11" s="44" t="s">
        <v>12</v>
      </c>
      <c r="C11" s="39"/>
      <c r="D11" s="45">
        <v>3200000</v>
      </c>
      <c r="E11" s="39">
        <f>+C119</f>
        <v>3200000</v>
      </c>
      <c r="F11" s="38">
        <f>'TB 2082.04.01-10.18'!E7</f>
        <v>0</v>
      </c>
      <c r="G11" s="39">
        <f t="shared" ref="G11:G14" si="2">C11-D11+E11-F11</f>
        <v>0</v>
      </c>
      <c r="H11" s="35">
        <f t="shared" ref="H11:H22" si="3">D11-C11+F11-E11</f>
        <v>0</v>
      </c>
      <c r="I11" s="60"/>
      <c r="K11" s="39"/>
      <c r="M11" s="39"/>
      <c r="O11" s="39"/>
    </row>
    <row r="12" spans="2:16">
      <c r="B12" s="44" t="s">
        <v>119</v>
      </c>
      <c r="C12" s="42"/>
      <c r="D12" s="45">
        <v>200000</v>
      </c>
      <c r="E12" s="42">
        <f>C120</f>
        <v>200000</v>
      </c>
      <c r="F12" s="38"/>
      <c r="G12" s="42">
        <f t="shared" si="2"/>
        <v>0</v>
      </c>
      <c r="H12" s="35">
        <f t="shared" si="3"/>
        <v>0</v>
      </c>
      <c r="I12" s="61"/>
      <c r="K12" s="42"/>
      <c r="M12" s="42"/>
      <c r="O12" s="42"/>
    </row>
    <row r="13" spans="2:16">
      <c r="B13" s="44" t="s">
        <v>120</v>
      </c>
      <c r="C13" s="42"/>
      <c r="D13" s="45">
        <v>1000000</v>
      </c>
      <c r="E13" s="42">
        <f>C121</f>
        <v>1000000</v>
      </c>
      <c r="F13" s="38"/>
      <c r="G13" s="42">
        <f t="shared" si="2"/>
        <v>0</v>
      </c>
      <c r="H13" s="35">
        <f t="shared" si="3"/>
        <v>0</v>
      </c>
      <c r="I13" s="61"/>
      <c r="K13" s="42"/>
      <c r="M13" s="42"/>
      <c r="O13" s="42"/>
    </row>
    <row r="14" spans="2:16">
      <c r="B14" s="44" t="s">
        <v>121</v>
      </c>
      <c r="C14" s="42"/>
      <c r="D14" s="45">
        <v>5000000</v>
      </c>
      <c r="E14" s="42">
        <f>C122</f>
        <v>5000000</v>
      </c>
      <c r="F14" s="38"/>
      <c r="G14" s="42">
        <f t="shared" si="2"/>
        <v>0</v>
      </c>
      <c r="H14" s="35">
        <f t="shared" si="3"/>
        <v>0</v>
      </c>
      <c r="I14" s="61"/>
      <c r="K14" s="42"/>
      <c r="M14" s="42"/>
      <c r="O14" s="42"/>
    </row>
    <row r="15" spans="2:16">
      <c r="B15" s="46" t="s">
        <v>122</v>
      </c>
      <c r="C15" s="42"/>
      <c r="D15" s="38"/>
      <c r="E15" s="42"/>
      <c r="F15" s="43">
        <f>D123</f>
        <v>5000000</v>
      </c>
      <c r="G15" s="42"/>
      <c r="H15" s="313">
        <f t="shared" si="3"/>
        <v>5000000</v>
      </c>
      <c r="I15" s="61">
        <f>C133</f>
        <v>5000000</v>
      </c>
      <c r="K15" s="42"/>
      <c r="L15" s="54">
        <f t="shared" ref="L15:L18" si="4">H15-G15+J15-I15</f>
        <v>0</v>
      </c>
      <c r="M15" s="42"/>
      <c r="O15" s="42"/>
      <c r="P15" s="54">
        <f t="shared" ref="P15:P18" si="5">L15-K15+N15-M15</f>
        <v>0</v>
      </c>
    </row>
    <row r="16" spans="2:16">
      <c r="B16" s="46" t="s">
        <v>123</v>
      </c>
      <c r="C16" s="42"/>
      <c r="D16" s="38"/>
      <c r="E16" s="42"/>
      <c r="F16" s="43">
        <f>D124</f>
        <v>2510000</v>
      </c>
      <c r="G16" s="42"/>
      <c r="H16" s="313">
        <f t="shared" si="3"/>
        <v>2510000</v>
      </c>
      <c r="I16" s="61">
        <f t="shared" ref="I16:I18" si="6">C134</f>
        <v>2510000</v>
      </c>
      <c r="K16" s="42"/>
      <c r="L16" s="54">
        <f t="shared" si="4"/>
        <v>0</v>
      </c>
      <c r="M16" s="42"/>
      <c r="O16" s="42"/>
      <c r="P16" s="54">
        <f t="shared" si="5"/>
        <v>0</v>
      </c>
    </row>
    <row r="17" spans="2:16">
      <c r="B17" s="46" t="s">
        <v>124</v>
      </c>
      <c r="C17" s="42"/>
      <c r="D17" s="38"/>
      <c r="E17" s="42"/>
      <c r="F17" s="43">
        <f>D125</f>
        <v>1260000</v>
      </c>
      <c r="G17" s="42"/>
      <c r="H17" s="313">
        <f t="shared" si="3"/>
        <v>1260000</v>
      </c>
      <c r="I17" s="61">
        <f t="shared" si="6"/>
        <v>1260000</v>
      </c>
      <c r="K17" s="42"/>
      <c r="L17" s="54">
        <f t="shared" si="4"/>
        <v>0</v>
      </c>
      <c r="M17" s="42"/>
      <c r="O17" s="42"/>
      <c r="P17" s="54">
        <f t="shared" si="5"/>
        <v>0</v>
      </c>
    </row>
    <row r="18" spans="2:16">
      <c r="B18" s="46" t="s">
        <v>125</v>
      </c>
      <c r="C18" s="42"/>
      <c r="D18" s="38"/>
      <c r="E18" s="42"/>
      <c r="F18" s="43">
        <f>D126</f>
        <v>630000</v>
      </c>
      <c r="G18" s="42"/>
      <c r="H18" s="313">
        <f t="shared" si="3"/>
        <v>630000</v>
      </c>
      <c r="I18" s="61">
        <f t="shared" si="6"/>
        <v>630000</v>
      </c>
      <c r="K18" s="42"/>
      <c r="L18" s="54">
        <f t="shared" si="4"/>
        <v>0</v>
      </c>
      <c r="M18" s="42"/>
      <c r="O18" s="42"/>
      <c r="P18" s="54">
        <f t="shared" si="5"/>
        <v>0</v>
      </c>
    </row>
    <row r="19" spans="2:16">
      <c r="B19" s="36" t="s">
        <v>126</v>
      </c>
      <c r="C19" s="39"/>
      <c r="D19" s="40"/>
      <c r="E19" s="39"/>
      <c r="F19" s="38"/>
      <c r="G19" s="39"/>
      <c r="H19" s="35"/>
      <c r="I19" s="60"/>
      <c r="K19" s="39"/>
      <c r="M19" s="39"/>
      <c r="O19" s="39"/>
    </row>
    <row r="20" spans="2:16">
      <c r="B20" s="41" t="s">
        <v>57</v>
      </c>
      <c r="C20" s="42"/>
      <c r="D20" s="43"/>
      <c r="E20" s="42">
        <f>'TB 2082.04.01-10.18'!D36</f>
        <v>0</v>
      </c>
      <c r="F20" s="38">
        <f>'TB 2082.04.01-10.18'!E36</f>
        <v>20000000</v>
      </c>
      <c r="G20" s="42"/>
      <c r="H20" s="313">
        <f t="shared" si="3"/>
        <v>20000000</v>
      </c>
      <c r="I20" s="61">
        <f>C151+C162</f>
        <v>20600000</v>
      </c>
      <c r="J20" s="11">
        <f>D168</f>
        <v>600000</v>
      </c>
      <c r="K20" s="42"/>
      <c r="L20" s="54">
        <f>H20-G20+J20-I20</f>
        <v>0</v>
      </c>
      <c r="M20" s="42"/>
      <c r="O20" s="42"/>
      <c r="P20" s="54">
        <f t="shared" ref="P20:P23" si="7">L20-K20+N20-M20</f>
        <v>0</v>
      </c>
    </row>
    <row r="21" spans="2:16">
      <c r="B21" s="47" t="s">
        <v>61</v>
      </c>
      <c r="C21" s="42"/>
      <c r="D21" s="38"/>
      <c r="E21" s="42">
        <f>'TB 2082.04.01-10.18'!D38</f>
        <v>0</v>
      </c>
      <c r="F21" s="38">
        <f>'TB 2082.04.01-10.18'!E38</f>
        <v>2000000</v>
      </c>
      <c r="G21" s="42"/>
      <c r="H21" s="313">
        <f t="shared" si="3"/>
        <v>2000000</v>
      </c>
      <c r="I21" s="61">
        <f>C171</f>
        <v>2000000</v>
      </c>
      <c r="K21" s="42"/>
      <c r="L21" s="54">
        <f t="shared" ref="L21:L23" si="8">H21-G21+J21-I21</f>
        <v>0</v>
      </c>
      <c r="M21" s="42"/>
      <c r="O21" s="42"/>
      <c r="P21" s="54">
        <f t="shared" si="7"/>
        <v>0</v>
      </c>
    </row>
    <row r="22" spans="2:16">
      <c r="B22" s="47" t="s">
        <v>42</v>
      </c>
      <c r="C22" s="42"/>
      <c r="D22" s="38"/>
      <c r="E22" s="42"/>
      <c r="F22" s="38">
        <f>'TB 2082.04.01-10.18'!E28</f>
        <v>500000</v>
      </c>
      <c r="G22" s="42"/>
      <c r="H22" s="313">
        <f t="shared" si="3"/>
        <v>500000</v>
      </c>
      <c r="I22" s="61"/>
      <c r="K22" s="42"/>
      <c r="L22" s="336">
        <f t="shared" si="8"/>
        <v>500000</v>
      </c>
      <c r="M22" s="42"/>
      <c r="O22" s="42"/>
      <c r="P22" s="54">
        <f t="shared" si="7"/>
        <v>500000</v>
      </c>
    </row>
    <row r="23" spans="2:16">
      <c r="B23" s="47" t="s">
        <v>201</v>
      </c>
      <c r="C23" s="42"/>
      <c r="D23" s="38"/>
      <c r="E23" s="42"/>
      <c r="G23" s="42"/>
      <c r="H23" s="35">
        <v>0</v>
      </c>
      <c r="I23" s="61"/>
      <c r="K23" s="42"/>
      <c r="L23" s="54">
        <f t="shared" si="8"/>
        <v>0</v>
      </c>
      <c r="M23" s="42"/>
      <c r="O23" s="42"/>
      <c r="P23" s="54">
        <f t="shared" si="7"/>
        <v>0</v>
      </c>
    </row>
    <row r="24" spans="2:16">
      <c r="B24" s="36" t="s">
        <v>127</v>
      </c>
      <c r="C24" s="39"/>
      <c r="D24" s="40"/>
      <c r="E24" s="39"/>
      <c r="F24" s="38"/>
      <c r="G24" s="39"/>
      <c r="H24" s="35"/>
      <c r="I24" s="60"/>
      <c r="K24" s="39"/>
      <c r="M24" s="39"/>
      <c r="O24" s="39"/>
    </row>
    <row r="25" spans="2:16">
      <c r="B25" s="36" t="s">
        <v>128</v>
      </c>
      <c r="C25" s="39"/>
      <c r="D25" s="40"/>
      <c r="E25" s="39"/>
      <c r="F25" s="38"/>
      <c r="G25" s="39"/>
      <c r="H25" s="35"/>
      <c r="I25" s="60"/>
      <c r="K25" s="39"/>
      <c r="M25" s="39"/>
      <c r="O25" s="39"/>
    </row>
    <row r="26" spans="2:16">
      <c r="B26" s="44" t="s">
        <v>129</v>
      </c>
      <c r="C26" s="39"/>
      <c r="D26" s="45">
        <v>375</v>
      </c>
      <c r="E26" s="39"/>
      <c r="F26" s="38">
        <v>450</v>
      </c>
      <c r="G26" s="39"/>
      <c r="H26" s="313">
        <f t="shared" ref="H26:H33" si="9">D26-C26+F26-E26</f>
        <v>825</v>
      </c>
      <c r="I26" s="60">
        <f>C141</f>
        <v>375</v>
      </c>
      <c r="J26" s="11">
        <v>450</v>
      </c>
      <c r="K26" s="39"/>
      <c r="L26" s="336">
        <f t="shared" ref="L26:L28" si="10">H26-G26+J26-I26</f>
        <v>900</v>
      </c>
      <c r="M26" s="39"/>
      <c r="O26" s="39"/>
      <c r="P26" s="54">
        <f t="shared" ref="P26:P31" si="11">L26-K26+N26-M26</f>
        <v>900</v>
      </c>
    </row>
    <row r="27" spans="2:16">
      <c r="B27" s="44" t="s">
        <v>130</v>
      </c>
      <c r="C27" s="39"/>
      <c r="D27" s="45">
        <v>25750</v>
      </c>
      <c r="E27" s="39">
        <f>'TB 2082.04.01-10.18'!D13</f>
        <v>0</v>
      </c>
      <c r="F27" s="38">
        <f>'TB 2082.04.01-10.18'!E13</f>
        <v>4150</v>
      </c>
      <c r="G27" s="39"/>
      <c r="H27" s="313">
        <f>D27-C27+F27-E27</f>
        <v>29900</v>
      </c>
      <c r="I27" s="60">
        <f>C142</f>
        <v>25750</v>
      </c>
      <c r="J27" s="11">
        <f>'TB 10.18 to 03.15'!C16+D181+D202</f>
        <v>9270.2020202020212</v>
      </c>
      <c r="K27" s="39"/>
      <c r="L27" s="336">
        <f>H27-G27+J27-I27</f>
        <v>13420.202020202021</v>
      </c>
      <c r="M27" s="39"/>
      <c r="O27" s="39"/>
      <c r="P27" s="54">
        <f t="shared" si="11"/>
        <v>13420.202020202021</v>
      </c>
    </row>
    <row r="28" spans="2:16">
      <c r="B28" s="41" t="s">
        <v>50</v>
      </c>
      <c r="C28" s="39"/>
      <c r="D28" s="45"/>
      <c r="E28" s="39">
        <f>'TB 2082.04.01-10.18'!D31</f>
        <v>0</v>
      </c>
      <c r="F28" s="38">
        <f>'TB 2082.04.01-10.18'!E31</f>
        <v>7275</v>
      </c>
      <c r="G28" s="39"/>
      <c r="H28" s="313">
        <f t="shared" si="9"/>
        <v>7275</v>
      </c>
      <c r="I28" s="60"/>
      <c r="K28" s="39"/>
      <c r="L28" s="336">
        <f t="shared" si="10"/>
        <v>7275</v>
      </c>
      <c r="M28" s="39">
        <f>'TB After 03.15'!B12</f>
        <v>0</v>
      </c>
      <c r="N28">
        <f>'TB After 03.15'!C12</f>
        <v>2250</v>
      </c>
      <c r="O28" s="39"/>
      <c r="P28" s="54">
        <f t="shared" si="11"/>
        <v>9525</v>
      </c>
    </row>
    <row r="29" spans="2:16">
      <c r="B29" s="41" t="s">
        <v>131</v>
      </c>
      <c r="C29" s="39"/>
      <c r="D29" s="45"/>
      <c r="E29" s="39">
        <f>'TB 2082.04.01-10.18'!D24</f>
        <v>0</v>
      </c>
      <c r="F29" s="38">
        <f>'TB 2082.04.01-10.18'!E24</f>
        <v>0</v>
      </c>
      <c r="G29" s="39"/>
      <c r="H29" s="35"/>
      <c r="I29" s="60">
        <f>'TB 10.18 to 03.15'!B20</f>
        <v>0</v>
      </c>
      <c r="J29" s="11">
        <f>'TB 10.18 to 03.15'!C20</f>
        <v>4500</v>
      </c>
      <c r="K29" s="39"/>
      <c r="L29" s="336">
        <f>H29-G29+J29-I29</f>
        <v>4500</v>
      </c>
      <c r="M29" s="39">
        <f>'TB After 03.15'!B3</f>
        <v>0</v>
      </c>
      <c r="N29">
        <f>'TB After 03.15'!C3</f>
        <v>7235.625</v>
      </c>
      <c r="O29" s="39"/>
      <c r="P29" s="54">
        <f t="shared" si="11"/>
        <v>11735.625</v>
      </c>
    </row>
    <row r="30" spans="2:16">
      <c r="B30" s="44" t="s">
        <v>132</v>
      </c>
      <c r="C30" s="39"/>
      <c r="D30" s="45">
        <v>24000</v>
      </c>
      <c r="E30" s="39"/>
      <c r="F30" s="38"/>
      <c r="G30" s="39"/>
      <c r="H30" s="313">
        <f t="shared" si="9"/>
        <v>24000</v>
      </c>
      <c r="I30" s="60">
        <f>C143</f>
        <v>24000</v>
      </c>
      <c r="K30" s="39"/>
      <c r="L30" s="54">
        <f t="shared" ref="L30:L31" si="12">H30-G30+J30-I30</f>
        <v>0</v>
      </c>
      <c r="M30" s="39"/>
      <c r="O30" s="39"/>
      <c r="P30" s="54">
        <f t="shared" si="11"/>
        <v>0</v>
      </c>
    </row>
    <row r="31" spans="2:16">
      <c r="B31" s="44" t="s">
        <v>133</v>
      </c>
      <c r="C31" s="39"/>
      <c r="D31" s="45">
        <v>6600</v>
      </c>
      <c r="E31" s="39"/>
      <c r="F31" s="38"/>
      <c r="G31" s="39"/>
      <c r="H31" s="313">
        <f t="shared" si="9"/>
        <v>6600</v>
      </c>
      <c r="I31" s="60">
        <f>C144</f>
        <v>6600</v>
      </c>
      <c r="K31" s="39"/>
      <c r="L31" s="54">
        <f t="shared" si="12"/>
        <v>0</v>
      </c>
      <c r="M31" s="39"/>
      <c r="O31" s="39"/>
      <c r="P31" s="54">
        <f t="shared" si="11"/>
        <v>0</v>
      </c>
    </row>
    <row r="32" spans="2:16">
      <c r="B32" s="36" t="s">
        <v>134</v>
      </c>
      <c r="C32" s="39"/>
      <c r="D32" s="45"/>
      <c r="E32" s="39"/>
      <c r="F32" s="38"/>
      <c r="G32" s="39"/>
      <c r="H32" s="35"/>
      <c r="I32" s="60"/>
      <c r="K32" s="39"/>
      <c r="M32" s="39"/>
      <c r="O32" s="39"/>
    </row>
    <row r="33" spans="2:16">
      <c r="B33" s="44" t="s">
        <v>135</v>
      </c>
      <c r="C33" s="39"/>
      <c r="D33" s="45">
        <v>27875</v>
      </c>
      <c r="E33" s="39"/>
      <c r="F33" s="38">
        <v>33450</v>
      </c>
      <c r="G33" s="39"/>
      <c r="H33" s="314">
        <f t="shared" si="9"/>
        <v>61325</v>
      </c>
      <c r="I33" s="60">
        <f>C145</f>
        <v>27875</v>
      </c>
      <c r="J33" s="11">
        <v>33450</v>
      </c>
      <c r="K33" s="39"/>
      <c r="L33" s="336">
        <f>H33-G33+J33-I33</f>
        <v>66900</v>
      </c>
      <c r="M33" s="39"/>
      <c r="O33" s="39"/>
      <c r="P33" s="54">
        <f>L33-K33+N33-M33</f>
        <v>66900</v>
      </c>
    </row>
    <row r="34" spans="2:16">
      <c r="B34" s="41" t="s">
        <v>101</v>
      </c>
      <c r="C34" s="42"/>
      <c r="D34" s="43"/>
      <c r="E34" s="42"/>
      <c r="F34" s="38"/>
      <c r="G34" s="42"/>
      <c r="H34" s="35"/>
      <c r="I34" s="61"/>
      <c r="K34" s="42"/>
      <c r="M34" s="42">
        <f>'TB After 03.15'!B4</f>
        <v>0</v>
      </c>
      <c r="N34">
        <f>'TB After 03.15'!C4</f>
        <v>537848.125</v>
      </c>
      <c r="O34" s="42"/>
      <c r="P34" s="54">
        <f t="shared" ref="P34:P36" si="13">L34-K34+N34-M34</f>
        <v>537848.125</v>
      </c>
    </row>
    <row r="35" spans="2:16">
      <c r="B35" s="41" t="s">
        <v>104</v>
      </c>
      <c r="C35" s="42"/>
      <c r="D35" s="43"/>
      <c r="E35" s="42"/>
      <c r="F35" s="38"/>
      <c r="G35" s="42"/>
      <c r="H35" s="35"/>
      <c r="I35" s="61"/>
      <c r="K35" s="42"/>
      <c r="M35" s="42">
        <f>'TB After 03.15'!B8</f>
        <v>0</v>
      </c>
      <c r="N35">
        <f>'TB After 03.15'!C8</f>
        <v>115990</v>
      </c>
      <c r="O35" s="42"/>
      <c r="P35" s="54">
        <f t="shared" si="13"/>
        <v>115990</v>
      </c>
    </row>
    <row r="36" spans="2:16">
      <c r="B36" s="41" t="s">
        <v>106</v>
      </c>
      <c r="C36" s="42"/>
      <c r="D36" s="43"/>
      <c r="E36" s="42"/>
      <c r="F36" s="38"/>
      <c r="G36" s="42"/>
      <c r="H36" s="35"/>
      <c r="I36" s="61"/>
      <c r="K36" s="42"/>
      <c r="M36" s="42">
        <f>'TB After 03.15'!B13</f>
        <v>0</v>
      </c>
      <c r="N36">
        <f>'TB After 03.15'!C13</f>
        <v>22061</v>
      </c>
      <c r="O36" s="42"/>
      <c r="P36" s="54">
        <f t="shared" si="13"/>
        <v>22061</v>
      </c>
    </row>
    <row r="37" spans="2:16">
      <c r="B37" s="44" t="s">
        <v>136</v>
      </c>
      <c r="C37" s="39"/>
      <c r="D37" s="45">
        <v>222750</v>
      </c>
      <c r="E37" s="39"/>
      <c r="F37" s="38"/>
      <c r="G37" s="39"/>
      <c r="H37" s="313">
        <f t="shared" ref="H37:H51" si="14">D37-C37+F37-E37</f>
        <v>222750</v>
      </c>
      <c r="I37" s="60">
        <f>C185</f>
        <v>222750</v>
      </c>
      <c r="K37" s="39"/>
      <c r="L37" s="54">
        <f t="shared" ref="L37:L38" si="15">H37-G37+J37-I37</f>
        <v>0</v>
      </c>
      <c r="M37" s="39"/>
      <c r="O37" s="39"/>
      <c r="P37" s="54">
        <f t="shared" ref="P37:P38" si="16">L37-K37+N37-M37</f>
        <v>0</v>
      </c>
    </row>
    <row r="38" spans="2:16">
      <c r="B38" s="44" t="s">
        <v>137</v>
      </c>
      <c r="C38" s="39"/>
      <c r="D38" s="45">
        <v>94500</v>
      </c>
      <c r="E38" s="39"/>
      <c r="F38" s="38"/>
      <c r="G38" s="39"/>
      <c r="H38" s="313">
        <f t="shared" si="14"/>
        <v>94500</v>
      </c>
      <c r="I38" s="60">
        <f>C186</f>
        <v>94500</v>
      </c>
      <c r="K38" s="39"/>
      <c r="L38" s="54">
        <f t="shared" si="15"/>
        <v>0</v>
      </c>
      <c r="M38" s="39"/>
      <c r="O38" s="39"/>
      <c r="P38" s="54">
        <f t="shared" si="16"/>
        <v>0</v>
      </c>
    </row>
    <row r="39" spans="2:16">
      <c r="B39" s="36" t="s">
        <v>138</v>
      </c>
      <c r="C39" s="39"/>
      <c r="D39" s="40"/>
      <c r="E39" s="39"/>
      <c r="F39" s="38"/>
      <c r="G39" s="39"/>
      <c r="H39" s="35"/>
      <c r="I39" s="60"/>
      <c r="K39" s="39"/>
      <c r="M39" s="39"/>
      <c r="O39" s="39"/>
    </row>
    <row r="40" spans="2:16">
      <c r="B40" s="44" t="s">
        <v>139</v>
      </c>
      <c r="C40" s="39"/>
      <c r="D40" s="45">
        <v>365000</v>
      </c>
      <c r="E40" s="39"/>
      <c r="F40" s="38">
        <f>'TB 2082.04.01-10.18'!E21</f>
        <v>25000</v>
      </c>
      <c r="G40" s="39"/>
      <c r="H40" s="313">
        <f>D40-C40+F40-E40</f>
        <v>390000</v>
      </c>
      <c r="I40" s="60">
        <f>C190</f>
        <v>350000</v>
      </c>
      <c r="K40" s="39"/>
      <c r="L40" s="336">
        <f>H40-G40+J40-I40</f>
        <v>40000</v>
      </c>
      <c r="M40" s="39"/>
      <c r="O40" s="39"/>
      <c r="P40" s="54">
        <f t="shared" ref="P40:P42" si="17">L40-K40+N40-M40</f>
        <v>40000</v>
      </c>
    </row>
    <row r="41" spans="2:16">
      <c r="B41" s="44" t="s">
        <v>140</v>
      </c>
      <c r="C41" s="39"/>
      <c r="D41" s="45">
        <v>200000</v>
      </c>
      <c r="E41" s="39"/>
      <c r="F41" s="38"/>
      <c r="G41" s="39"/>
      <c r="H41" s="313">
        <f t="shared" si="14"/>
        <v>200000</v>
      </c>
      <c r="I41" s="60">
        <f>C191</f>
        <v>200000</v>
      </c>
      <c r="K41" s="39"/>
      <c r="L41" s="54">
        <f t="shared" ref="L41:L42" si="18">H41-G41+J41-I41</f>
        <v>0</v>
      </c>
      <c r="M41" s="39"/>
      <c r="O41" s="39"/>
      <c r="P41" s="54">
        <f t="shared" si="17"/>
        <v>0</v>
      </c>
    </row>
    <row r="42" spans="2:16">
      <c r="B42" s="44" t="s">
        <v>141</v>
      </c>
      <c r="C42" s="39"/>
      <c r="D42" s="45">
        <v>500000</v>
      </c>
      <c r="E42" s="39"/>
      <c r="F42" s="38"/>
      <c r="G42" s="39"/>
      <c r="H42" s="313">
        <f t="shared" si="14"/>
        <v>500000</v>
      </c>
      <c r="I42" s="60">
        <f>C192</f>
        <v>500000</v>
      </c>
      <c r="K42" s="39"/>
      <c r="L42" s="54">
        <f t="shared" si="18"/>
        <v>0</v>
      </c>
      <c r="M42" s="39"/>
      <c r="O42" s="39"/>
      <c r="P42" s="54">
        <f t="shared" si="17"/>
        <v>0</v>
      </c>
    </row>
    <row r="43" spans="2:16">
      <c r="B43" s="41" t="s">
        <v>142</v>
      </c>
      <c r="C43" s="39"/>
      <c r="D43" s="40"/>
      <c r="E43" s="39"/>
      <c r="F43" s="38"/>
      <c r="G43" s="39"/>
      <c r="H43" s="35"/>
      <c r="I43" s="60">
        <f>C193</f>
        <v>500000</v>
      </c>
      <c r="K43" s="334">
        <f>G43-H43+I43-J43</f>
        <v>500000</v>
      </c>
      <c r="M43" s="39"/>
      <c r="O43" s="37">
        <f>K43-L43+M43-N43</f>
        <v>500000</v>
      </c>
    </row>
    <row r="44" spans="2:16">
      <c r="B44" s="41" t="s">
        <v>14</v>
      </c>
      <c r="C44" s="39"/>
      <c r="D44" s="40"/>
      <c r="E44" s="39">
        <f>'TB 2082.04.01-10.18'!D8</f>
        <v>0</v>
      </c>
      <c r="F44" s="38">
        <f>'TB 2082.04.01-10.18'!E8</f>
        <v>700000</v>
      </c>
      <c r="G44" s="39"/>
      <c r="H44" s="313">
        <f t="shared" si="14"/>
        <v>700000</v>
      </c>
      <c r="I44" s="60">
        <f>C167+C194</f>
        <v>700000</v>
      </c>
      <c r="K44" s="39"/>
      <c r="L44" s="54">
        <f>H44-G44+J44-I44</f>
        <v>0</v>
      </c>
      <c r="M44" s="39"/>
      <c r="O44" s="39"/>
      <c r="P44" s="54">
        <f>L44-K44+N44-M44</f>
        <v>0</v>
      </c>
    </row>
    <row r="45" spans="2:16">
      <c r="B45" s="41" t="s">
        <v>143</v>
      </c>
      <c r="C45" s="39"/>
      <c r="D45" s="40"/>
      <c r="E45" s="39">
        <f>'TB 2082.04.01-10.18'!D19</f>
        <v>9225</v>
      </c>
      <c r="F45" s="38">
        <f>'TB 2082.04.01-10.18'!E19</f>
        <v>0</v>
      </c>
      <c r="G45" s="309">
        <f>C45-D45+E45-F45</f>
        <v>9225</v>
      </c>
      <c r="H45" s="35"/>
      <c r="I45" s="60">
        <f>'TB 10.18 to 03.15'!B4+C195</f>
        <v>2350</v>
      </c>
      <c r="J45" s="11">
        <f>'TB 10.18 to 03.15'!C4+D148</f>
        <v>9365</v>
      </c>
      <c r="K45" s="334">
        <f>G45-H45+I45-J45</f>
        <v>2210</v>
      </c>
      <c r="L45" s="54"/>
      <c r="M45" s="39">
        <f>'TB After 03.15'!B6</f>
        <v>0</v>
      </c>
      <c r="N45">
        <f>'TB After 03.15'!C6</f>
        <v>2210</v>
      </c>
      <c r="O45" s="37">
        <f>K45-L45+M45-N45</f>
        <v>0</v>
      </c>
      <c r="P45" s="54">
        <f>L45-K45+N45-M45</f>
        <v>0</v>
      </c>
    </row>
    <row r="46" spans="2:16">
      <c r="B46" s="41" t="s">
        <v>37</v>
      </c>
      <c r="C46" s="39"/>
      <c r="D46" s="40"/>
      <c r="E46" s="39">
        <f>'TB 2082.04.01-10.18'!D25</f>
        <v>0</v>
      </c>
      <c r="F46" s="38">
        <f>'TB 2082.04.01-10.18'!E25</f>
        <v>2000</v>
      </c>
      <c r="G46" s="39"/>
      <c r="H46" s="313">
        <f t="shared" si="14"/>
        <v>2000</v>
      </c>
      <c r="I46" s="60"/>
      <c r="K46" s="39"/>
      <c r="L46" s="336">
        <f t="shared" ref="L46:L47" si="19">H46-G46+J46-I46</f>
        <v>2000</v>
      </c>
      <c r="M46" s="39"/>
      <c r="O46" s="39"/>
      <c r="P46" s="54">
        <f t="shared" ref="P46:P47" si="20">L46-K46+N46-M46</f>
        <v>2000</v>
      </c>
    </row>
    <row r="47" spans="2:16">
      <c r="B47" s="44" t="s">
        <v>144</v>
      </c>
      <c r="C47" s="39"/>
      <c r="D47" s="45">
        <v>600000</v>
      </c>
      <c r="E47" s="39">
        <f>'TB 2082.04.01-10.18'!D43</f>
        <v>220000</v>
      </c>
      <c r="F47" s="38">
        <f>'TB 2082.04.01-10.18'!E43</f>
        <v>0</v>
      </c>
      <c r="G47" s="39"/>
      <c r="H47" s="313">
        <f t="shared" si="14"/>
        <v>380000</v>
      </c>
      <c r="I47" s="60">
        <f>C154</f>
        <v>380000</v>
      </c>
      <c r="K47" s="39"/>
      <c r="L47" s="54">
        <f t="shared" si="19"/>
        <v>0</v>
      </c>
      <c r="M47" s="39"/>
      <c r="O47" s="39"/>
      <c r="P47" s="54">
        <f t="shared" si="20"/>
        <v>0</v>
      </c>
    </row>
    <row r="48" spans="2:16">
      <c r="B48" s="41" t="s">
        <v>54</v>
      </c>
      <c r="C48" s="39"/>
      <c r="D48" s="40"/>
      <c r="E48" s="39">
        <f>'TB 2082.04.01-10.18'!D34</f>
        <v>0</v>
      </c>
      <c r="F48" s="38">
        <f>'TB 2082.04.01-10.18'!E34</f>
        <v>0</v>
      </c>
      <c r="G48" s="39"/>
      <c r="H48" s="35">
        <f t="shared" si="14"/>
        <v>0</v>
      </c>
      <c r="I48" s="60"/>
      <c r="K48" s="39"/>
      <c r="M48" s="39"/>
      <c r="O48" s="39"/>
    </row>
    <row r="49" spans="2:16">
      <c r="B49" s="44" t="s">
        <v>145</v>
      </c>
      <c r="C49" s="39"/>
      <c r="D49" s="45">
        <v>2200000</v>
      </c>
      <c r="E49" s="39"/>
      <c r="F49" s="38"/>
      <c r="G49" s="39"/>
      <c r="H49" s="313">
        <f t="shared" si="14"/>
        <v>2200000</v>
      </c>
      <c r="I49" s="60">
        <f>C175</f>
        <v>2200000</v>
      </c>
      <c r="K49" s="39"/>
      <c r="L49" s="54">
        <f>H49-G49+J49-I49</f>
        <v>0</v>
      </c>
      <c r="M49" s="39"/>
      <c r="O49" s="39"/>
      <c r="P49" s="54">
        <f>L49-K49+N49-M49</f>
        <v>0</v>
      </c>
    </row>
    <row r="50" spans="2:16">
      <c r="B50" s="44" t="s">
        <v>146</v>
      </c>
      <c r="C50" s="39"/>
      <c r="D50" s="45">
        <v>1300000</v>
      </c>
      <c r="E50" s="39">
        <f>'TB 2082.04.01-10.18'!D33</f>
        <v>6300000</v>
      </c>
      <c r="F50" s="38">
        <f>'TB 2082.04.01-10.18'!E33</f>
        <v>0</v>
      </c>
      <c r="G50" s="309">
        <f>C50-D50+E50-F50</f>
        <v>5000000</v>
      </c>
      <c r="H50" s="35"/>
      <c r="I50" s="60"/>
      <c r="J50" s="67">
        <f>D152</f>
        <v>5000000</v>
      </c>
      <c r="K50" s="39">
        <f>G50-H50+I50-J50</f>
        <v>0</v>
      </c>
      <c r="M50" s="39"/>
      <c r="O50" s="37">
        <f>K50-L50+M50-N50</f>
        <v>0</v>
      </c>
    </row>
    <row r="51" spans="2:16">
      <c r="B51" s="44" t="s">
        <v>147</v>
      </c>
      <c r="C51" s="39"/>
      <c r="D51" s="45">
        <v>12000000</v>
      </c>
      <c r="E51" s="39">
        <f>'TB 2082.04.01-10.18'!D40</f>
        <v>12000000</v>
      </c>
      <c r="F51" s="38">
        <f>'TB 2082.04.01-10.18'!E40</f>
        <v>0</v>
      </c>
      <c r="G51" s="39">
        <f>C51-D51+E51-F51</f>
        <v>0</v>
      </c>
      <c r="H51" s="35">
        <f t="shared" si="14"/>
        <v>0</v>
      </c>
      <c r="I51" s="60"/>
      <c r="K51" s="39"/>
      <c r="M51" s="39"/>
      <c r="O51" s="39"/>
    </row>
    <row r="52" spans="2:16">
      <c r="B52" s="36" t="s">
        <v>148</v>
      </c>
      <c r="C52" s="39"/>
      <c r="D52" s="40"/>
      <c r="E52" s="39"/>
      <c r="F52" s="38"/>
      <c r="G52" s="39"/>
      <c r="H52" s="35"/>
      <c r="I52" s="60"/>
      <c r="K52" s="39"/>
      <c r="M52" s="39"/>
      <c r="O52" s="39"/>
    </row>
    <row r="53" spans="2:16">
      <c r="B53" s="36" t="s">
        <v>149</v>
      </c>
      <c r="C53" s="39"/>
      <c r="D53" s="40"/>
      <c r="E53" s="39"/>
      <c r="F53" s="38"/>
      <c r="G53" s="39"/>
      <c r="H53" s="35"/>
      <c r="I53" s="60"/>
      <c r="K53" s="39"/>
      <c r="M53" s="39"/>
      <c r="O53" s="39"/>
    </row>
    <row r="54" spans="2:16">
      <c r="B54" s="36" t="s">
        <v>150</v>
      </c>
      <c r="C54" s="39"/>
      <c r="D54" s="40"/>
      <c r="E54" s="39"/>
      <c r="F54" s="38"/>
      <c r="G54" s="39"/>
      <c r="H54" s="35"/>
      <c r="I54" s="60"/>
      <c r="K54" s="39"/>
      <c r="M54" s="39"/>
      <c r="O54" s="39"/>
    </row>
    <row r="55" spans="2:16">
      <c r="B55" s="41" t="s">
        <v>151</v>
      </c>
      <c r="C55" s="48">
        <v>399141</v>
      </c>
      <c r="D55" s="40"/>
      <c r="E55" s="48"/>
      <c r="F55" s="38"/>
      <c r="G55" s="308">
        <f>C55-D55+E55-F55</f>
        <v>399141</v>
      </c>
      <c r="H55" s="35"/>
      <c r="I55" s="62"/>
      <c r="K55" s="320">
        <f t="shared" ref="K55:K56" si="21">G55-H55+I55-J55</f>
        <v>399141</v>
      </c>
      <c r="M55" s="48"/>
      <c r="O55" s="37">
        <f t="shared" ref="O55:O56" si="22">K55-L55+M55-N55</f>
        <v>399141</v>
      </c>
    </row>
    <row r="56" spans="2:16">
      <c r="B56" s="41" t="s">
        <v>152</v>
      </c>
      <c r="C56" s="48">
        <v>205333.33</v>
      </c>
      <c r="D56" s="40"/>
      <c r="E56" s="48"/>
      <c r="F56" s="38"/>
      <c r="G56" s="308">
        <f>C56-D56+E56-F56</f>
        <v>205333.33</v>
      </c>
      <c r="H56" s="35"/>
      <c r="I56" s="62"/>
      <c r="K56" s="320">
        <f t="shared" si="21"/>
        <v>205333.33</v>
      </c>
      <c r="M56" s="48"/>
      <c r="O56" s="37">
        <f t="shared" si="22"/>
        <v>205333.33</v>
      </c>
    </row>
    <row r="57" spans="2:16">
      <c r="B57" s="41" t="s">
        <v>153</v>
      </c>
      <c r="C57" s="48"/>
      <c r="D57" s="40"/>
      <c r="E57" s="48"/>
      <c r="F57" s="38"/>
      <c r="G57" s="48"/>
      <c r="H57" s="35"/>
      <c r="I57" s="62"/>
      <c r="K57" s="48"/>
      <c r="M57" s="48">
        <f>'TB After 03.15'!B2</f>
        <v>545083.75</v>
      </c>
      <c r="N57">
        <f>'TB After 03.15'!C2</f>
        <v>0</v>
      </c>
      <c r="O57" s="37">
        <f t="shared" ref="O57:O75" si="23">K57-L57+M57-N57</f>
        <v>545083.75</v>
      </c>
    </row>
    <row r="58" spans="2:16">
      <c r="B58" s="36" t="s">
        <v>154</v>
      </c>
      <c r="C58" s="39"/>
      <c r="D58" s="40"/>
      <c r="E58" s="39"/>
      <c r="F58" s="38"/>
      <c r="G58" s="39"/>
      <c r="H58" s="35"/>
      <c r="I58" s="60"/>
      <c r="K58" s="39"/>
      <c r="M58" s="39"/>
      <c r="O58" s="39"/>
    </row>
    <row r="59" spans="2:16">
      <c r="B59" s="44" t="s">
        <v>155</v>
      </c>
      <c r="C59" s="48">
        <v>8000000</v>
      </c>
      <c r="D59" s="40"/>
      <c r="E59" s="48"/>
      <c r="F59" s="38"/>
      <c r="G59" s="308">
        <f t="shared" ref="G59:G73" si="24">C59-D59+E59-F59</f>
        <v>8000000</v>
      </c>
      <c r="H59" s="35"/>
      <c r="I59" s="62"/>
      <c r="K59" s="320">
        <f t="shared" ref="K59:K74" si="25">G59-H59+I59-J59</f>
        <v>8000000</v>
      </c>
      <c r="M59" s="48"/>
      <c r="O59" s="37">
        <f t="shared" si="23"/>
        <v>8000000</v>
      </c>
    </row>
    <row r="60" spans="2:16">
      <c r="B60" s="41" t="s">
        <v>63</v>
      </c>
      <c r="C60" s="48"/>
      <c r="D60" s="40"/>
      <c r="E60" s="48">
        <f>'TB 2082.04.01-10.18'!D39</f>
        <v>2000000</v>
      </c>
      <c r="F60" s="38"/>
      <c r="G60" s="308">
        <f t="shared" si="24"/>
        <v>2000000</v>
      </c>
      <c r="H60" s="35"/>
      <c r="I60" s="62"/>
      <c r="K60" s="320">
        <f t="shared" si="25"/>
        <v>2000000</v>
      </c>
      <c r="M60" s="48"/>
      <c r="O60" s="37">
        <f t="shared" si="23"/>
        <v>2000000</v>
      </c>
    </row>
    <row r="61" spans="2:16">
      <c r="B61" s="44" t="s">
        <v>156</v>
      </c>
      <c r="C61" s="48">
        <v>300000</v>
      </c>
      <c r="D61" s="40"/>
      <c r="E61" s="48"/>
      <c r="F61" s="38"/>
      <c r="G61" s="308">
        <f t="shared" si="24"/>
        <v>300000</v>
      </c>
      <c r="H61" s="35"/>
      <c r="I61" s="62"/>
      <c r="K61" s="320">
        <f t="shared" si="25"/>
        <v>300000</v>
      </c>
      <c r="M61" s="48"/>
      <c r="O61" s="37">
        <f t="shared" si="23"/>
        <v>300000</v>
      </c>
    </row>
    <row r="62" spans="2:16">
      <c r="B62" s="44" t="s">
        <v>157</v>
      </c>
      <c r="C62" s="48">
        <v>102000</v>
      </c>
      <c r="D62" s="40"/>
      <c r="E62" s="48"/>
      <c r="F62" s="38"/>
      <c r="G62" s="308">
        <f t="shared" si="24"/>
        <v>102000</v>
      </c>
      <c r="H62" s="35"/>
      <c r="I62" s="62"/>
      <c r="K62" s="320">
        <f t="shared" si="25"/>
        <v>102000</v>
      </c>
      <c r="M62" s="48"/>
      <c r="O62" s="37">
        <f t="shared" si="23"/>
        <v>102000</v>
      </c>
    </row>
    <row r="63" spans="2:16">
      <c r="B63" s="44" t="s">
        <v>158</v>
      </c>
      <c r="C63" s="48">
        <v>274657.15000000002</v>
      </c>
      <c r="D63" s="40"/>
      <c r="E63" s="48"/>
      <c r="F63" s="38"/>
      <c r="G63" s="308">
        <f t="shared" si="24"/>
        <v>274657.15000000002</v>
      </c>
      <c r="H63" s="35"/>
      <c r="I63" s="62">
        <f>'TB 10.18 to 03.15'!B5</f>
        <v>370</v>
      </c>
      <c r="J63" s="11">
        <f>'TB 10.18 to 03.15'!C5</f>
        <v>0</v>
      </c>
      <c r="K63" s="320">
        <f t="shared" si="25"/>
        <v>275027.15000000002</v>
      </c>
      <c r="M63" s="48">
        <f>'TB After 03.15'!B9</f>
        <v>2101</v>
      </c>
      <c r="N63">
        <f>'TB After 03.15'!C9</f>
        <v>0</v>
      </c>
      <c r="O63" s="37">
        <f t="shared" si="23"/>
        <v>277128.15000000002</v>
      </c>
    </row>
    <row r="64" spans="2:16">
      <c r="B64" s="44" t="s">
        <v>159</v>
      </c>
      <c r="C64" s="48">
        <v>197000</v>
      </c>
      <c r="D64" s="40"/>
      <c r="E64" s="48"/>
      <c r="F64" s="38"/>
      <c r="G64" s="308">
        <f t="shared" si="24"/>
        <v>197000</v>
      </c>
      <c r="H64" s="35"/>
      <c r="I64" s="62"/>
      <c r="K64" s="320">
        <f t="shared" si="25"/>
        <v>197000</v>
      </c>
      <c r="M64" s="48"/>
      <c r="O64" s="37">
        <f t="shared" si="23"/>
        <v>197000</v>
      </c>
    </row>
    <row r="65" spans="2:15">
      <c r="B65" s="44" t="s">
        <v>160</v>
      </c>
      <c r="C65" s="48">
        <v>2575000</v>
      </c>
      <c r="D65" s="40"/>
      <c r="E65" s="48">
        <f>'TB 2082.04.01-10.18'!D9+'TB 2082.04.01-10.18'!D10+'TB 2082.04.01-10.18'!D11+'TB 2082.04.01-10.18'!D12</f>
        <v>415000</v>
      </c>
      <c r="F65" s="38"/>
      <c r="G65" s="308">
        <f t="shared" si="24"/>
        <v>2990000</v>
      </c>
      <c r="H65" s="35"/>
      <c r="I65" s="62">
        <f>'TB 10.18 to 03.15'!B15+C180+C201</f>
        <v>927020.20202020206</v>
      </c>
      <c r="J65" s="11">
        <f>'TB 10.18 to 03.15'!C15</f>
        <v>0</v>
      </c>
      <c r="K65" s="320">
        <f t="shared" si="25"/>
        <v>3917020.2020202018</v>
      </c>
      <c r="M65" s="48"/>
      <c r="O65" s="37">
        <f t="shared" si="23"/>
        <v>3917020.2020202018</v>
      </c>
    </row>
    <row r="66" spans="2:15">
      <c r="B66" s="44" t="s">
        <v>161</v>
      </c>
      <c r="C66" s="48">
        <v>464344</v>
      </c>
      <c r="D66" s="40"/>
      <c r="E66" s="48">
        <f>'TB 2082.04.01-10.18'!D35+'TB 2082.04.01-10.18'!D26+'TB 2082.04.01-10.18'!D27</f>
        <v>343785</v>
      </c>
      <c r="F66" s="38">
        <f>'TB 2082.04.01-10.18'!E35</f>
        <v>0</v>
      </c>
      <c r="G66" s="308">
        <f t="shared" si="24"/>
        <v>808129</v>
      </c>
      <c r="H66" s="35"/>
      <c r="I66" s="62"/>
      <c r="K66" s="320">
        <f t="shared" si="25"/>
        <v>808129</v>
      </c>
      <c r="M66" s="48">
        <f>'TB After 03.15'!B7</f>
        <v>125301</v>
      </c>
      <c r="N66">
        <f>'TB After 03.15'!C7</f>
        <v>0</v>
      </c>
      <c r="O66" s="37">
        <f t="shared" si="23"/>
        <v>933430</v>
      </c>
    </row>
    <row r="67" spans="2:15">
      <c r="B67" s="44" t="s">
        <v>162</v>
      </c>
      <c r="C67" s="48">
        <v>660000</v>
      </c>
      <c r="D67" s="40"/>
      <c r="E67" s="48"/>
      <c r="F67" s="38"/>
      <c r="G67" s="308">
        <f t="shared" si="24"/>
        <v>660000</v>
      </c>
      <c r="H67" s="35"/>
      <c r="I67" s="62"/>
      <c r="K67" s="320">
        <f t="shared" si="25"/>
        <v>660000</v>
      </c>
      <c r="M67" s="48"/>
      <c r="O67" s="37">
        <f t="shared" si="23"/>
        <v>660000</v>
      </c>
    </row>
    <row r="68" spans="2:15">
      <c r="B68" s="44" t="s">
        <v>163</v>
      </c>
      <c r="C68" s="48">
        <v>240000</v>
      </c>
      <c r="D68" s="40"/>
      <c r="E68" s="48"/>
      <c r="F68" s="38"/>
      <c r="G68" s="308">
        <f t="shared" si="24"/>
        <v>240000</v>
      </c>
      <c r="H68" s="35"/>
      <c r="I68" s="62"/>
      <c r="K68" s="320">
        <f t="shared" si="25"/>
        <v>240000</v>
      </c>
      <c r="M68" s="48"/>
      <c r="O68" s="37">
        <f t="shared" si="23"/>
        <v>240000</v>
      </c>
    </row>
    <row r="69" spans="2:15">
      <c r="B69" s="44" t="s">
        <v>164</v>
      </c>
      <c r="C69" s="48">
        <v>37700</v>
      </c>
      <c r="D69" s="40"/>
      <c r="E69" s="48"/>
      <c r="F69" s="38"/>
      <c r="G69" s="308">
        <f t="shared" si="24"/>
        <v>37700</v>
      </c>
      <c r="H69" s="35"/>
      <c r="I69" s="62"/>
      <c r="K69" s="320">
        <f t="shared" si="25"/>
        <v>37700</v>
      </c>
      <c r="M69" s="48"/>
      <c r="O69" s="37">
        <f t="shared" si="23"/>
        <v>37700</v>
      </c>
    </row>
    <row r="70" spans="2:15">
      <c r="B70" s="44" t="s">
        <v>165</v>
      </c>
      <c r="C70" s="48">
        <v>42350</v>
      </c>
      <c r="D70" s="40"/>
      <c r="E70" s="48">
        <f>'TB 2082.04.01-10.18'!D14</f>
        <v>6965</v>
      </c>
      <c r="F70" s="38"/>
      <c r="G70" s="308">
        <f t="shared" si="24"/>
        <v>49315</v>
      </c>
      <c r="H70" s="35"/>
      <c r="I70" s="62">
        <f>'TB 10.18 to 03.15'!B2</f>
        <v>11565</v>
      </c>
      <c r="J70" s="11">
        <f>'TB 10.18 to 03.15'!C2</f>
        <v>0</v>
      </c>
      <c r="K70" s="320">
        <f t="shared" si="25"/>
        <v>60880</v>
      </c>
      <c r="M70" s="48">
        <f>'TB After 03.15'!B5</f>
        <v>2210</v>
      </c>
      <c r="N70">
        <f>'TB After 03.15'!C5</f>
        <v>0</v>
      </c>
      <c r="O70" s="37">
        <f t="shared" si="23"/>
        <v>63090</v>
      </c>
    </row>
    <row r="71" spans="2:15">
      <c r="B71" s="44" t="s">
        <v>166</v>
      </c>
      <c r="C71" s="48">
        <v>7360</v>
      </c>
      <c r="D71" s="40"/>
      <c r="E71" s="48">
        <f>'TB 2082.04.01-10.18'!D15+'TB 2082.04.01-10.18'!D16+'TB 2082.04.01-10.18'!D17+'TB 2082.04.01-10.18'!D18+'TB 2082.04.01-10.18'!D32+'TB 2082.04.01-10.18'!D44</f>
        <v>14585</v>
      </c>
      <c r="F71" s="38"/>
      <c r="G71" s="308">
        <f t="shared" si="24"/>
        <v>21945</v>
      </c>
      <c r="H71" s="35"/>
      <c r="I71" s="62">
        <f>'TB 10.18 to 03.15'!B3+'TB 10.18 to 03.15'!B8</f>
        <v>2500</v>
      </c>
      <c r="J71" s="11">
        <f>'TB 10.18 to 03.15'!C3+'TB 10.18 to 03.15'!C8</f>
        <v>0</v>
      </c>
      <c r="K71" s="320">
        <f t="shared" si="25"/>
        <v>24445</v>
      </c>
      <c r="M71" s="48"/>
      <c r="O71" s="37">
        <f t="shared" si="23"/>
        <v>24445</v>
      </c>
    </row>
    <row r="72" spans="2:15">
      <c r="B72" s="44" t="s">
        <v>167</v>
      </c>
      <c r="C72" s="48">
        <v>85230</v>
      </c>
      <c r="D72" s="40"/>
      <c r="E72" s="48"/>
      <c r="F72" s="38"/>
      <c r="G72" s="308">
        <f t="shared" si="24"/>
        <v>85230</v>
      </c>
      <c r="H72" s="35"/>
      <c r="I72" s="62"/>
      <c r="K72" s="320">
        <f t="shared" si="25"/>
        <v>85230</v>
      </c>
      <c r="M72" s="48"/>
      <c r="O72" s="37">
        <f t="shared" si="23"/>
        <v>85230</v>
      </c>
    </row>
    <row r="73" spans="2:15">
      <c r="B73" s="44" t="s">
        <v>49</v>
      </c>
      <c r="C73" s="48"/>
      <c r="D73" s="40"/>
      <c r="E73" s="48">
        <f>'TB 2082.04.01-10.18'!D30</f>
        <v>48500</v>
      </c>
      <c r="F73" s="38">
        <f>'TB 2082.04.01-10.18'!E30</f>
        <v>0</v>
      </c>
      <c r="G73" s="308">
        <f t="shared" si="24"/>
        <v>48500</v>
      </c>
      <c r="H73" s="35"/>
      <c r="I73" s="62"/>
      <c r="K73" s="320">
        <f t="shared" si="25"/>
        <v>48500</v>
      </c>
      <c r="M73" s="48"/>
      <c r="O73" s="37">
        <f t="shared" si="23"/>
        <v>48500</v>
      </c>
    </row>
    <row r="74" spans="2:15">
      <c r="B74" s="41" t="s">
        <v>91</v>
      </c>
      <c r="C74" s="42"/>
      <c r="D74" s="43"/>
      <c r="E74" s="42"/>
      <c r="F74" s="38"/>
      <c r="G74" s="42"/>
      <c r="H74" s="35"/>
      <c r="I74" s="61">
        <f>'TB 10.18 to 03.15'!B19</f>
        <v>339000</v>
      </c>
      <c r="J74" s="11">
        <f>'TB 10.18 to 03.15'!C19</f>
        <v>0</v>
      </c>
      <c r="K74" s="320">
        <f t="shared" si="25"/>
        <v>339000</v>
      </c>
      <c r="M74" s="42"/>
      <c r="O74" s="37">
        <f t="shared" si="23"/>
        <v>339000</v>
      </c>
    </row>
    <row r="75" spans="2:15">
      <c r="B75" s="41" t="s">
        <v>105</v>
      </c>
      <c r="C75" s="42"/>
      <c r="D75" s="43"/>
      <c r="E75" s="42"/>
      <c r="F75" s="38"/>
      <c r="G75" s="42"/>
      <c r="H75" s="35"/>
      <c r="I75" s="61"/>
      <c r="K75" s="319"/>
      <c r="M75" s="42">
        <f>'TB After 03.15'!B11</f>
        <v>15000</v>
      </c>
      <c r="N75">
        <f>'TB After 03.15'!C11</f>
        <v>0</v>
      </c>
      <c r="O75" s="37">
        <f t="shared" si="23"/>
        <v>15000</v>
      </c>
    </row>
    <row r="76" spans="2:15">
      <c r="B76" s="36" t="s">
        <v>168</v>
      </c>
      <c r="C76" s="48"/>
      <c r="D76" s="40"/>
      <c r="E76" s="48"/>
      <c r="F76" s="38"/>
      <c r="G76" s="48"/>
      <c r="H76" s="35"/>
      <c r="I76" s="62"/>
      <c r="K76" s="48"/>
      <c r="M76" s="48"/>
      <c r="O76" s="48"/>
    </row>
    <row r="77" spans="2:15">
      <c r="B77" s="36" t="s">
        <v>169</v>
      </c>
      <c r="C77" s="48"/>
      <c r="D77" s="40"/>
      <c r="E77" s="48"/>
      <c r="F77" s="38"/>
      <c r="G77" s="48">
        <f>C77-D77+E77-F77</f>
        <v>0</v>
      </c>
      <c r="H77" s="35"/>
      <c r="I77" s="62"/>
      <c r="K77" s="48"/>
      <c r="M77" s="48"/>
      <c r="O77" s="48"/>
    </row>
    <row r="78" spans="2:15">
      <c r="B78" s="44" t="s">
        <v>170</v>
      </c>
      <c r="C78" s="48">
        <v>4000000</v>
      </c>
      <c r="D78" s="40"/>
      <c r="E78" s="48">
        <f>'TB 2082.04.01-10.18'!D7</f>
        <v>1000000</v>
      </c>
      <c r="F78" s="38"/>
      <c r="G78" s="308">
        <f>C78-D78+E78-F78</f>
        <v>5000000</v>
      </c>
      <c r="H78" s="35"/>
      <c r="I78" s="62"/>
      <c r="K78" s="320">
        <f t="shared" ref="K78:K83" si="26">G78-H78+I78-J78</f>
        <v>5000000</v>
      </c>
      <c r="M78" s="48"/>
      <c r="O78" s="37">
        <f t="shared" ref="O78:O84" si="27">K78-L78+M78-N78</f>
        <v>5000000</v>
      </c>
    </row>
    <row r="79" spans="2:15">
      <c r="B79" s="41" t="s">
        <v>67</v>
      </c>
      <c r="C79" s="42"/>
      <c r="D79" s="43"/>
      <c r="E79" s="42">
        <f>'TB 2082.04.01-10.18'!D42</f>
        <v>500000</v>
      </c>
      <c r="F79" s="38">
        <f>'TB 2082.04.01-10.18'!E42</f>
        <v>0</v>
      </c>
      <c r="G79" s="308">
        <f>C79-D79+E79-F79</f>
        <v>500000</v>
      </c>
      <c r="H79" s="35"/>
      <c r="I79" s="61"/>
      <c r="J79" s="11">
        <f>D198</f>
        <v>352350</v>
      </c>
      <c r="K79" s="320">
        <f t="shared" si="26"/>
        <v>147650</v>
      </c>
      <c r="M79" s="42"/>
      <c r="O79" s="37">
        <f t="shared" si="27"/>
        <v>147650</v>
      </c>
    </row>
    <row r="80" spans="2:15">
      <c r="B80" s="44" t="s">
        <v>171</v>
      </c>
      <c r="C80" s="48">
        <v>5563462</v>
      </c>
      <c r="D80" s="40"/>
      <c r="E80" s="48"/>
      <c r="F80" s="38"/>
      <c r="G80" s="308">
        <f>C80-D80+E80-F80</f>
        <v>5563462</v>
      </c>
      <c r="H80" s="35"/>
      <c r="I80" s="62"/>
      <c r="J80" s="11">
        <f>D159+D172+D182+D187</f>
        <v>2916750</v>
      </c>
      <c r="K80" s="320">
        <f t="shared" si="26"/>
        <v>2646712</v>
      </c>
      <c r="M80" s="48"/>
      <c r="O80" s="37">
        <f t="shared" si="27"/>
        <v>2646712</v>
      </c>
    </row>
    <row r="81" spans="2:16">
      <c r="B81" s="41" t="s">
        <v>87</v>
      </c>
      <c r="C81" s="42"/>
      <c r="D81" s="43"/>
      <c r="E81" s="42"/>
      <c r="F81" s="38"/>
      <c r="G81" s="42"/>
      <c r="H81" s="35"/>
      <c r="I81" s="61">
        <f>'TB 10.18 to 03.15'!B12</f>
        <v>1800000</v>
      </c>
      <c r="J81" s="11">
        <f>'TB 10.18 to 03.15'!C12</f>
        <v>0</v>
      </c>
      <c r="K81" s="320">
        <f t="shared" si="26"/>
        <v>1800000</v>
      </c>
      <c r="M81" s="42"/>
      <c r="O81" s="37">
        <f t="shared" si="27"/>
        <v>1800000</v>
      </c>
    </row>
    <row r="82" spans="2:16">
      <c r="B82" s="41" t="s">
        <v>88</v>
      </c>
      <c r="C82" s="42"/>
      <c r="D82" s="43"/>
      <c r="E82" s="42"/>
      <c r="F82" s="38"/>
      <c r="G82" s="42"/>
      <c r="H82" s="35"/>
      <c r="I82" s="61">
        <f>'TB 10.18 to 03.15'!B13</f>
        <v>2000000</v>
      </c>
      <c r="J82" s="11">
        <f>'TB 10.18 to 03.15'!C13</f>
        <v>0</v>
      </c>
      <c r="K82" s="320">
        <f t="shared" si="26"/>
        <v>2000000</v>
      </c>
      <c r="M82" s="42"/>
      <c r="O82" s="37">
        <f t="shared" si="27"/>
        <v>2000000</v>
      </c>
    </row>
    <row r="83" spans="2:16">
      <c r="B83" s="41" t="s">
        <v>85</v>
      </c>
      <c r="C83" s="42"/>
      <c r="D83" s="43"/>
      <c r="E83" s="42"/>
      <c r="F83" s="38"/>
      <c r="G83" s="42"/>
      <c r="H83" s="35"/>
      <c r="I83" s="61">
        <f>'TB 10.18 to 03.15'!B11</f>
        <v>8700000</v>
      </c>
      <c r="J83" s="11">
        <f>+C175</f>
        <v>2200000</v>
      </c>
      <c r="K83" s="320">
        <f t="shared" si="26"/>
        <v>6500000</v>
      </c>
      <c r="M83" s="42"/>
      <c r="O83" s="37">
        <f t="shared" si="27"/>
        <v>6500000</v>
      </c>
    </row>
    <row r="84" spans="2:16">
      <c r="B84" s="41" t="s">
        <v>172</v>
      </c>
      <c r="C84" s="39"/>
      <c r="D84" s="40"/>
      <c r="E84" s="39">
        <f>'TB 2082.04.01-10.18'!D5</f>
        <v>260000</v>
      </c>
      <c r="F84" s="38">
        <f>'TB 2082.04.01-10.18'!E5</f>
        <v>0</v>
      </c>
      <c r="G84" s="309">
        <f>C84-D84+E84-F84</f>
        <v>260000</v>
      </c>
      <c r="H84" s="35"/>
      <c r="I84" s="60"/>
      <c r="J84" s="11">
        <f>D156</f>
        <v>260000</v>
      </c>
      <c r="K84" s="39">
        <f>G84-H84+I84-J84</f>
        <v>0</v>
      </c>
      <c r="M84" s="39"/>
      <c r="O84" s="37">
        <f t="shared" si="27"/>
        <v>0</v>
      </c>
    </row>
    <row r="85" spans="2:16">
      <c r="B85" s="41" t="s">
        <v>96</v>
      </c>
      <c r="C85" s="42"/>
      <c r="D85" s="43"/>
      <c r="E85" s="42"/>
      <c r="F85" s="38"/>
      <c r="G85" s="42"/>
      <c r="H85" s="35"/>
      <c r="I85" s="61">
        <f>'TB 10.18 to 03.15'!B23</f>
        <v>0</v>
      </c>
      <c r="J85" s="11">
        <f>'TB 10.18 to 03.15'!C23</f>
        <v>0</v>
      </c>
      <c r="K85" s="42"/>
      <c r="M85" s="42"/>
      <c r="O85" s="42"/>
    </row>
    <row r="86" spans="2:16">
      <c r="B86" s="41" t="s">
        <v>89</v>
      </c>
      <c r="C86" s="42"/>
      <c r="D86" s="43"/>
      <c r="E86" s="42"/>
      <c r="F86" s="38"/>
      <c r="G86" s="42"/>
      <c r="H86" s="35"/>
      <c r="I86" s="61">
        <f>'TB 10.18 to 03.15'!B14</f>
        <v>15600000</v>
      </c>
      <c r="J86" s="67">
        <f>D163</f>
        <v>15600000</v>
      </c>
      <c r="K86" s="42">
        <f t="shared" ref="K86:K88" si="28">G86-H86+I86-J86</f>
        <v>0</v>
      </c>
      <c r="M86" s="42"/>
      <c r="O86" s="37">
        <f t="shared" ref="O86:O88" si="29">K86-L86+M86-N86</f>
        <v>0</v>
      </c>
    </row>
    <row r="87" spans="2:16">
      <c r="B87" s="41" t="s">
        <v>97</v>
      </c>
      <c r="C87" s="42"/>
      <c r="D87" s="43"/>
      <c r="E87" s="42"/>
      <c r="F87" s="38"/>
      <c r="G87" s="42"/>
      <c r="H87" s="35"/>
      <c r="I87" s="61">
        <f>'TB 10.18 to 03.15'!B24</f>
        <v>800000</v>
      </c>
      <c r="J87" s="11">
        <f>D196</f>
        <v>800000</v>
      </c>
      <c r="K87" s="42">
        <f t="shared" si="28"/>
        <v>0</v>
      </c>
      <c r="M87" s="42"/>
      <c r="O87" s="37">
        <f t="shared" si="29"/>
        <v>0</v>
      </c>
    </row>
    <row r="88" spans="2:16">
      <c r="B88" s="41" t="s">
        <v>98</v>
      </c>
      <c r="C88" s="42"/>
      <c r="D88" s="43"/>
      <c r="E88" s="42"/>
      <c r="F88" s="38"/>
      <c r="G88" s="42"/>
      <c r="H88" s="35"/>
      <c r="I88" s="61">
        <f>'TB 10.18 to 03.15'!B25</f>
        <v>200000</v>
      </c>
      <c r="J88" s="11">
        <f>D203</f>
        <v>200000.00000000003</v>
      </c>
      <c r="K88" s="42">
        <f t="shared" si="28"/>
        <v>0</v>
      </c>
      <c r="M88" s="42"/>
      <c r="O88" s="37">
        <f t="shared" si="29"/>
        <v>0</v>
      </c>
    </row>
    <row r="89" spans="2:16">
      <c r="B89" s="44" t="s">
        <v>173</v>
      </c>
      <c r="C89" s="48">
        <v>3000000</v>
      </c>
      <c r="D89" s="40"/>
      <c r="E89" s="48">
        <f>'TB 2082.04.01-10.18'!D3</f>
        <v>0</v>
      </c>
      <c r="F89" s="38">
        <f>'TB 2082.04.01-10.18'!E3</f>
        <v>3200000</v>
      </c>
      <c r="G89" s="48"/>
      <c r="H89" s="313">
        <f t="shared" ref="H89" si="30">D89-C89+F89-E89</f>
        <v>200000</v>
      </c>
      <c r="I89" s="62">
        <f>C155</f>
        <v>200000</v>
      </c>
      <c r="K89" s="48"/>
      <c r="L89" s="54">
        <f t="shared" ref="L89" si="31">H89-G89+J89-I89</f>
        <v>0</v>
      </c>
      <c r="M89" s="48"/>
      <c r="O89" s="48"/>
      <c r="P89" s="54">
        <f>L89-K89+N89-M89</f>
        <v>0</v>
      </c>
    </row>
    <row r="90" spans="2:16">
      <c r="B90" s="41" t="s">
        <v>66</v>
      </c>
      <c r="C90" s="42"/>
      <c r="D90" s="43"/>
      <c r="E90" s="42">
        <f>'TB 2082.04.01-10.18'!D41</f>
        <v>500000</v>
      </c>
      <c r="F90" s="38">
        <f>'TB 2082.04.01-10.18'!E41</f>
        <v>0</v>
      </c>
      <c r="G90" s="308">
        <f>C90-D90+E90-F90</f>
        <v>500000</v>
      </c>
      <c r="H90" s="35">
        <v>0</v>
      </c>
      <c r="I90" s="61"/>
      <c r="J90" s="11">
        <f>D197</f>
        <v>500000</v>
      </c>
      <c r="K90" s="42">
        <f>G90-H90+I90-J90</f>
        <v>0</v>
      </c>
      <c r="L90" s="54"/>
      <c r="M90" s="42"/>
      <c r="O90" s="37">
        <f>K90-L90+M90-N90</f>
        <v>0</v>
      </c>
    </row>
    <row r="91" spans="2:16">
      <c r="B91" s="36" t="s">
        <v>174</v>
      </c>
      <c r="C91" s="39"/>
      <c r="D91" s="40"/>
      <c r="E91" s="39"/>
      <c r="F91" s="38"/>
      <c r="G91" s="39"/>
      <c r="H91" s="35"/>
      <c r="I91" s="60"/>
      <c r="K91" s="39"/>
      <c r="M91" s="39"/>
      <c r="O91" s="39"/>
    </row>
    <row r="92" spans="2:16">
      <c r="B92" s="41" t="s">
        <v>33</v>
      </c>
      <c r="C92" s="39"/>
      <c r="D92" s="40"/>
      <c r="E92" s="39">
        <f>'TB 2082.04.01-10.18'!D22</f>
        <v>529624.5</v>
      </c>
      <c r="F92" s="38">
        <f>'TB 2082.04.01-10.18'!E22</f>
        <v>0</v>
      </c>
      <c r="G92" s="309">
        <f>C92-D92+E92-F92</f>
        <v>529624.5</v>
      </c>
      <c r="H92" s="35"/>
      <c r="I92" s="60"/>
      <c r="K92" s="334">
        <f t="shared" ref="K92:K96" si="32">G92-H92+I92-J92</f>
        <v>529624.5</v>
      </c>
      <c r="M92" s="39"/>
      <c r="O92" s="37">
        <f t="shared" ref="O92:O96" si="33">K92-L92+M92-N92</f>
        <v>529624.5</v>
      </c>
    </row>
    <row r="93" spans="2:16">
      <c r="B93" s="44" t="s">
        <v>175</v>
      </c>
      <c r="C93" s="48">
        <v>2200000</v>
      </c>
      <c r="D93" s="40"/>
      <c r="E93" s="48">
        <f>'TB 2082.04.01-10.18'!D45</f>
        <v>700000</v>
      </c>
      <c r="F93" s="38">
        <f>'TB 2082.04.01-10.18'!E45</f>
        <v>0</v>
      </c>
      <c r="G93" s="308">
        <f>C93-D93+E93-F93</f>
        <v>2900000</v>
      </c>
      <c r="H93" s="35"/>
      <c r="I93" s="62">
        <f>'TB 10.18 to 03.15'!B17</f>
        <v>1000000</v>
      </c>
      <c r="J93" s="11">
        <f>'TB 10.18 to 03.15'!C17</f>
        <v>0</v>
      </c>
      <c r="K93" s="320">
        <f t="shared" si="32"/>
        <v>3900000</v>
      </c>
      <c r="M93" s="48"/>
      <c r="O93" s="37">
        <f t="shared" si="33"/>
        <v>3900000</v>
      </c>
    </row>
    <row r="94" spans="2:16">
      <c r="B94" s="44" t="s">
        <v>176</v>
      </c>
      <c r="C94" s="48">
        <v>250000</v>
      </c>
      <c r="D94" s="40"/>
      <c r="E94" s="48"/>
      <c r="F94" s="38"/>
      <c r="G94" s="308">
        <f>C94-D94+E94-F94</f>
        <v>250000</v>
      </c>
      <c r="H94" s="35"/>
      <c r="I94" s="62">
        <f>'TB 10.18 to 03.15'!B18</f>
        <v>4500</v>
      </c>
      <c r="J94" s="11">
        <f>'TB 10.18 to 03.15'!C18</f>
        <v>0</v>
      </c>
      <c r="K94" s="320">
        <f t="shared" si="32"/>
        <v>254500</v>
      </c>
      <c r="M94" s="48"/>
      <c r="O94" s="37">
        <f t="shared" si="33"/>
        <v>254500</v>
      </c>
    </row>
    <row r="95" spans="2:16">
      <c r="B95" s="41" t="s">
        <v>177</v>
      </c>
      <c r="C95" s="48"/>
      <c r="D95" s="40"/>
      <c r="E95" s="48">
        <f>'TB 2082.04.01-10.18'!D37</f>
        <v>124300</v>
      </c>
      <c r="F95" s="38">
        <f>'TB 2082.04.01-10.18'!E37</f>
        <v>0</v>
      </c>
      <c r="G95" s="308">
        <f>C95-D95+E95-F95</f>
        <v>124300</v>
      </c>
      <c r="H95" s="35"/>
      <c r="I95" s="62"/>
      <c r="J95" s="67">
        <f>D147</f>
        <v>124300</v>
      </c>
      <c r="K95" s="48">
        <f t="shared" si="32"/>
        <v>0</v>
      </c>
      <c r="L95" s="54">
        <f>H95-G95+J95-I95</f>
        <v>0</v>
      </c>
      <c r="M95" s="48"/>
      <c r="O95" s="37">
        <f t="shared" si="33"/>
        <v>0</v>
      </c>
    </row>
    <row r="96" spans="2:16">
      <c r="B96" s="41" t="s">
        <v>44</v>
      </c>
      <c r="C96" s="39"/>
      <c r="D96" s="40"/>
      <c r="E96" s="39">
        <f>'TB 2082.04.01-10.18'!D29</f>
        <v>75000</v>
      </c>
      <c r="F96" s="38">
        <f>'TB 2082.04.01-10.18'!E29</f>
        <v>0</v>
      </c>
      <c r="G96" s="309">
        <f>C96-D96+E96-F96</f>
        <v>75000</v>
      </c>
      <c r="H96" s="35"/>
      <c r="I96" s="60"/>
      <c r="J96" s="11">
        <f>D158</f>
        <v>75000</v>
      </c>
      <c r="K96" s="39">
        <f t="shared" si="32"/>
        <v>0</v>
      </c>
      <c r="M96" s="39"/>
      <c r="O96" s="37">
        <f t="shared" si="33"/>
        <v>0</v>
      </c>
    </row>
    <row r="97" spans="2:17">
      <c r="B97" s="36" t="s">
        <v>178</v>
      </c>
      <c r="C97" s="39"/>
      <c r="D97" s="40"/>
      <c r="E97" s="39"/>
      <c r="F97" s="38"/>
      <c r="G97" s="39"/>
      <c r="H97" s="35"/>
      <c r="I97" s="60"/>
      <c r="K97" s="39"/>
      <c r="M97" s="39"/>
      <c r="O97" s="39"/>
    </row>
    <row r="98" spans="2:17">
      <c r="B98" s="74" t="s">
        <v>179</v>
      </c>
      <c r="C98" s="75"/>
      <c r="D98" s="75"/>
      <c r="E98" s="75"/>
      <c r="F98" s="76"/>
      <c r="G98" s="75">
        <f>C98-D98+E98-F98</f>
        <v>0</v>
      </c>
      <c r="H98" s="77"/>
      <c r="I98" s="75"/>
      <c r="J98" s="78">
        <f>D157</f>
        <v>190000</v>
      </c>
      <c r="K98" s="79"/>
      <c r="L98" s="80">
        <f>H98-G98+J98-I98</f>
        <v>190000</v>
      </c>
      <c r="M98" s="75"/>
      <c r="N98" s="81"/>
      <c r="O98" s="75"/>
      <c r="P98" s="80">
        <f>L98</f>
        <v>190000</v>
      </c>
      <c r="Q98" s="81"/>
    </row>
    <row r="99" spans="2:17">
      <c r="B99" s="36" t="s">
        <v>180</v>
      </c>
      <c r="C99" s="39"/>
      <c r="D99" s="40"/>
      <c r="E99" s="39"/>
      <c r="F99" s="38"/>
      <c r="G99" s="39"/>
      <c r="H99" s="35"/>
      <c r="I99" s="60"/>
      <c r="K99" s="39"/>
      <c r="M99" s="39"/>
      <c r="O99" s="39"/>
    </row>
    <row r="100" spans="2:17">
      <c r="B100" s="44" t="s">
        <v>181</v>
      </c>
      <c r="C100" s="48">
        <v>298500</v>
      </c>
      <c r="D100" s="40"/>
      <c r="E100" s="48"/>
      <c r="F100" s="38"/>
      <c r="G100" s="308">
        <f>C100-D100+E100-F100</f>
        <v>298500</v>
      </c>
      <c r="H100" s="35"/>
      <c r="I100" s="62"/>
      <c r="K100" s="320">
        <f>G100-H100+I100-J100</f>
        <v>298500</v>
      </c>
      <c r="M100" s="48"/>
      <c r="O100" s="37">
        <f>K100-L100+M100-N100</f>
        <v>298500</v>
      </c>
    </row>
    <row r="101" spans="2:17">
      <c r="B101" s="36" t="s">
        <v>182</v>
      </c>
      <c r="C101" s="39"/>
      <c r="D101" s="40"/>
      <c r="E101" s="39"/>
      <c r="F101" s="38"/>
      <c r="G101" s="39"/>
      <c r="H101" s="35"/>
      <c r="I101" s="60"/>
      <c r="K101" s="39"/>
      <c r="M101" s="39"/>
      <c r="O101" s="39"/>
    </row>
    <row r="102" spans="2:17">
      <c r="B102" s="44" t="s">
        <v>183</v>
      </c>
      <c r="C102" s="48">
        <v>850392.85</v>
      </c>
      <c r="D102" s="40"/>
      <c r="E102" s="48">
        <f>'TB 2082.04.01-10.18'!D4</f>
        <v>0</v>
      </c>
      <c r="F102" s="38">
        <f>'TB 2082.04.01-10.18'!E4</f>
        <v>838559.5</v>
      </c>
      <c r="G102" s="308">
        <f>C102-D102+E102-F102</f>
        <v>11833.349999999977</v>
      </c>
      <c r="H102" s="35"/>
      <c r="I102" s="62">
        <f>'TB 10.18 to 03.15'!B6</f>
        <v>1602380</v>
      </c>
      <c r="J102" s="11">
        <f>'TB 10.18 to 03.15'!C6</f>
        <v>0</v>
      </c>
      <c r="K102" s="320">
        <f t="shared" ref="K102:K103" si="34">G102-H102+I102-J102</f>
        <v>1614213.35</v>
      </c>
      <c r="M102" s="48">
        <f>'TB After 03.15'!B10</f>
        <v>0</v>
      </c>
      <c r="N102">
        <f>'TB After 03.15'!C10</f>
        <v>2101</v>
      </c>
      <c r="O102" s="37">
        <f t="shared" ref="O102:O103" si="35">K102-L102+M102-N102</f>
        <v>1612112.35</v>
      </c>
      <c r="P102" s="54"/>
    </row>
    <row r="103" spans="2:17">
      <c r="B103" s="44" t="s">
        <v>184</v>
      </c>
      <c r="C103" s="48">
        <v>40804</v>
      </c>
      <c r="D103" s="40"/>
      <c r="E103" s="48">
        <f>'TB 2082.04.01-10.18'!D20</f>
        <v>0</v>
      </c>
      <c r="F103" s="38">
        <f>'TB 2082.04.01-10.18'!E20</f>
        <v>40000</v>
      </c>
      <c r="G103" s="308">
        <f>C103-D103+E103-F103</f>
        <v>804</v>
      </c>
      <c r="H103" s="35"/>
      <c r="I103" s="62"/>
      <c r="K103" s="320">
        <f t="shared" si="34"/>
        <v>804</v>
      </c>
      <c r="M103" s="48"/>
      <c r="O103" s="37">
        <f t="shared" si="35"/>
        <v>804</v>
      </c>
    </row>
    <row r="104" spans="2:17">
      <c r="B104" s="44" t="s">
        <v>185</v>
      </c>
      <c r="C104" s="48">
        <v>0</v>
      </c>
      <c r="D104" s="40"/>
      <c r="E104" s="48"/>
      <c r="F104" s="38"/>
      <c r="G104" s="48"/>
      <c r="H104" s="35"/>
      <c r="I104" s="62"/>
      <c r="K104" s="48"/>
      <c r="M104" s="48"/>
      <c r="O104" s="48"/>
    </row>
    <row r="105" spans="2:17">
      <c r="B105" s="36" t="s">
        <v>186</v>
      </c>
      <c r="C105" s="48"/>
      <c r="D105" s="40"/>
      <c r="E105" s="48"/>
      <c r="F105" s="38"/>
      <c r="G105" s="48"/>
      <c r="H105" s="35"/>
      <c r="I105" s="62"/>
      <c r="K105" s="48"/>
      <c r="M105" s="48"/>
      <c r="O105" s="48"/>
    </row>
    <row r="106" spans="2:17">
      <c r="B106" s="44" t="s">
        <v>187</v>
      </c>
      <c r="C106" s="48"/>
      <c r="D106" s="40"/>
      <c r="E106" s="48">
        <f>30000*1.13</f>
        <v>33900</v>
      </c>
      <c r="F106" s="38"/>
      <c r="G106" s="308">
        <f>C106-D106+E106-F106</f>
        <v>33900</v>
      </c>
      <c r="H106" s="35"/>
      <c r="I106" s="62">
        <v>33900</v>
      </c>
      <c r="K106" s="48">
        <v>33900</v>
      </c>
      <c r="M106" s="48"/>
      <c r="O106" s="37">
        <f>K106-L106+M106-N106</f>
        <v>33900</v>
      </c>
    </row>
    <row r="107" spans="2:17">
      <c r="B107" s="41" t="s">
        <v>73</v>
      </c>
      <c r="C107" s="48"/>
      <c r="D107" s="40"/>
      <c r="E107" s="48">
        <f>'TB 2082.04.01-10.18'!D46</f>
        <v>0</v>
      </c>
      <c r="F107" s="38">
        <f>'TB 2082.04.01-10.18'!E46</f>
        <v>40000</v>
      </c>
      <c r="G107" s="48"/>
      <c r="H107" s="313">
        <f t="shared" ref="H107" si="36">D107-C107+F107-E107</f>
        <v>40000</v>
      </c>
      <c r="I107" s="62">
        <f>C146</f>
        <v>40000</v>
      </c>
      <c r="K107" s="48"/>
      <c r="L107" s="54">
        <f>H107-G107+J107-I107</f>
        <v>0</v>
      </c>
      <c r="M107" s="48"/>
      <c r="O107" s="48"/>
      <c r="P107" s="54">
        <f>L107-K107+N107-M107</f>
        <v>0</v>
      </c>
    </row>
    <row r="108" spans="2:17">
      <c r="B108" s="49" t="s">
        <v>109</v>
      </c>
      <c r="C108" s="50">
        <f t="shared" ref="C108:P108" si="37">SUM(C4:C107)</f>
        <v>30166850</v>
      </c>
      <c r="D108" s="51">
        <f t="shared" si="37"/>
        <v>30166850</v>
      </c>
      <c r="E108" s="50">
        <f t="shared" si="37"/>
        <v>36790884.5</v>
      </c>
      <c r="F108" s="52">
        <f t="shared" si="37"/>
        <v>36790884.5</v>
      </c>
      <c r="G108" s="50">
        <f t="shared" si="37"/>
        <v>37849175</v>
      </c>
      <c r="H108" s="53">
        <f t="shared" si="37"/>
        <v>37849175</v>
      </c>
      <c r="I108" s="63">
        <f t="shared" si="37"/>
        <v>72875435.202020198</v>
      </c>
      <c r="J108" s="40">
        <f t="shared" si="37"/>
        <v>72875435.202020198</v>
      </c>
      <c r="K108" s="50">
        <f t="shared" si="37"/>
        <v>44791095.202020206</v>
      </c>
      <c r="L108" s="40">
        <f t="shared" si="37"/>
        <v>44824995.202020206</v>
      </c>
      <c r="M108" s="50">
        <f t="shared" si="37"/>
        <v>689695.75</v>
      </c>
      <c r="N108" s="40">
        <f t="shared" si="37"/>
        <v>689695.75</v>
      </c>
      <c r="O108" s="40">
        <f t="shared" si="37"/>
        <v>45476479.952020206</v>
      </c>
      <c r="P108" s="40">
        <f t="shared" si="37"/>
        <v>45510379.952020206</v>
      </c>
    </row>
    <row r="110" spans="2:17">
      <c r="H110" s="16">
        <f>H108-G108</f>
        <v>0</v>
      </c>
      <c r="J110" s="11">
        <f>I108-J108</f>
        <v>0</v>
      </c>
      <c r="L110" s="54">
        <f>K108-L108</f>
        <v>-33900</v>
      </c>
      <c r="P110" s="54">
        <f>O108-P108</f>
        <v>-33900</v>
      </c>
    </row>
    <row r="112" spans="2:17">
      <c r="G112" s="16"/>
      <c r="H112" s="16"/>
      <c r="I112" s="64"/>
      <c r="K112" s="16"/>
      <c r="M112" s="16"/>
      <c r="O112" s="16"/>
    </row>
    <row r="113" spans="2:15">
      <c r="G113" s="16"/>
      <c r="I113" s="64"/>
      <c r="K113" s="16"/>
      <c r="M113" s="16"/>
      <c r="O113" s="16"/>
    </row>
    <row r="118" spans="2:15">
      <c r="B118" s="18"/>
      <c r="C118" s="18" t="s">
        <v>190</v>
      </c>
      <c r="D118" s="18" t="s">
        <v>3</v>
      </c>
    </row>
    <row r="119" spans="2:15">
      <c r="B119" s="19" t="s">
        <v>191</v>
      </c>
      <c r="C119" s="20">
        <v>3200000</v>
      </c>
      <c r="D119" s="19"/>
    </row>
    <row r="120" spans="2:15">
      <c r="B120" s="19" t="s">
        <v>192</v>
      </c>
      <c r="C120" s="20">
        <v>200000</v>
      </c>
      <c r="D120" s="19"/>
    </row>
    <row r="121" spans="2:15">
      <c r="B121" s="19" t="s">
        <v>193</v>
      </c>
      <c r="C121" s="20">
        <v>1000000</v>
      </c>
      <c r="D121" s="19"/>
    </row>
    <row r="122" spans="2:15">
      <c r="B122" s="19" t="s">
        <v>194</v>
      </c>
      <c r="C122" s="20">
        <v>5000000</v>
      </c>
      <c r="D122" s="19"/>
    </row>
    <row r="123" spans="2:15">
      <c r="B123" s="21" t="s">
        <v>195</v>
      </c>
      <c r="C123" s="19"/>
      <c r="D123" s="20">
        <f>+C122</f>
        <v>5000000</v>
      </c>
    </row>
    <row r="124" spans="2:15">
      <c r="B124" s="21" t="s">
        <v>196</v>
      </c>
      <c r="C124" s="19"/>
      <c r="D124" s="20">
        <v>2510000</v>
      </c>
    </row>
    <row r="125" spans="2:15">
      <c r="B125" s="21" t="s">
        <v>197</v>
      </c>
      <c r="C125" s="19"/>
      <c r="D125" s="20">
        <v>1260000</v>
      </c>
    </row>
    <row r="126" spans="2:15">
      <c r="B126" s="21" t="s">
        <v>198</v>
      </c>
      <c r="C126" s="19"/>
      <c r="D126" s="20">
        <v>630000</v>
      </c>
    </row>
    <row r="127" spans="2:15">
      <c r="B127" s="19" t="s">
        <v>199</v>
      </c>
      <c r="C127" s="22">
        <f>SUM(C119:C126)</f>
        <v>9400000</v>
      </c>
      <c r="D127" s="22">
        <f>SUM(D123:D126)</f>
        <v>9400000</v>
      </c>
    </row>
    <row r="128" spans="2:15">
      <c r="B128" s="18"/>
      <c r="C128" s="18"/>
      <c r="D128" s="18"/>
    </row>
    <row r="131" spans="2:4">
      <c r="B131" t="s">
        <v>235</v>
      </c>
    </row>
    <row r="133" spans="2:4">
      <c r="B133" s="2" t="s">
        <v>122</v>
      </c>
      <c r="C133" s="69">
        <v>5000000</v>
      </c>
      <c r="D133" s="2"/>
    </row>
    <row r="134" spans="2:4">
      <c r="B134" s="2" t="s">
        <v>123</v>
      </c>
      <c r="C134" s="69">
        <v>2510000</v>
      </c>
      <c r="D134" s="2"/>
    </row>
    <row r="135" spans="2:4">
      <c r="B135" s="2" t="s">
        <v>124</v>
      </c>
      <c r="C135" s="69">
        <v>1260000</v>
      </c>
      <c r="D135" s="2"/>
    </row>
    <row r="136" spans="2:4">
      <c r="B136" s="2" t="s">
        <v>125</v>
      </c>
      <c r="C136" s="69">
        <v>630000</v>
      </c>
      <c r="D136" s="2"/>
    </row>
    <row r="137" spans="2:4">
      <c r="B137" s="2" t="s">
        <v>210</v>
      </c>
      <c r="C137" s="2"/>
      <c r="D137" s="70">
        <v>9400000</v>
      </c>
    </row>
    <row r="138" spans="2:4">
      <c r="B138" s="2" t="s">
        <v>211</v>
      </c>
      <c r="C138" s="17">
        <v>9400000</v>
      </c>
      <c r="D138" s="17">
        <v>9400000</v>
      </c>
    </row>
    <row r="140" spans="2:4">
      <c r="B140" s="7" t="s">
        <v>189</v>
      </c>
    </row>
    <row r="141" spans="2:4">
      <c r="B141" s="15" t="s">
        <v>129</v>
      </c>
      <c r="C141" s="65">
        <v>375</v>
      </c>
      <c r="D141" s="2"/>
    </row>
    <row r="142" spans="2:4">
      <c r="B142" s="15" t="s">
        <v>130</v>
      </c>
      <c r="C142" s="65">
        <v>25750</v>
      </c>
      <c r="D142" s="2"/>
    </row>
    <row r="143" spans="2:4">
      <c r="B143" s="15" t="s">
        <v>132</v>
      </c>
      <c r="C143" s="65">
        <v>24000</v>
      </c>
      <c r="D143" s="2"/>
    </row>
    <row r="144" spans="2:4">
      <c r="B144" s="15" t="s">
        <v>133</v>
      </c>
      <c r="C144" s="65">
        <v>6600</v>
      </c>
      <c r="D144" s="2"/>
    </row>
    <row r="145" spans="2:4">
      <c r="B145" s="15" t="s">
        <v>187</v>
      </c>
      <c r="C145" s="65">
        <v>27875</v>
      </c>
      <c r="D145" s="2"/>
    </row>
    <row r="146" spans="2:4">
      <c r="B146" s="15" t="s">
        <v>212</v>
      </c>
      <c r="C146" s="66">
        <v>40000</v>
      </c>
      <c r="D146" s="2"/>
    </row>
    <row r="147" spans="2:4">
      <c r="B147" s="15" t="s">
        <v>213</v>
      </c>
      <c r="C147" s="2"/>
      <c r="D147" s="65">
        <v>124300</v>
      </c>
    </row>
    <row r="148" spans="2:4">
      <c r="B148" s="15" t="s">
        <v>214</v>
      </c>
      <c r="C148" s="2"/>
      <c r="D148" s="68">
        <v>300</v>
      </c>
    </row>
    <row r="149" spans="2:4">
      <c r="B149" s="15" t="s">
        <v>109</v>
      </c>
      <c r="C149" s="17">
        <v>124600</v>
      </c>
      <c r="D149" s="17">
        <v>124600</v>
      </c>
    </row>
    <row r="151" spans="2:4">
      <c r="B151" s="2" t="s">
        <v>57</v>
      </c>
      <c r="C151" s="69">
        <v>5000000</v>
      </c>
      <c r="D151" s="6"/>
    </row>
    <row r="152" spans="2:4">
      <c r="B152" s="15" t="s">
        <v>215</v>
      </c>
      <c r="C152" s="6"/>
      <c r="D152" s="69">
        <v>5000000</v>
      </c>
    </row>
    <row r="154" spans="2:4">
      <c r="B154" s="2" t="s">
        <v>144</v>
      </c>
      <c r="C154" s="70">
        <v>380000</v>
      </c>
      <c r="D154" s="2"/>
    </row>
    <row r="155" spans="2:4">
      <c r="B155" s="2" t="s">
        <v>173</v>
      </c>
      <c r="C155" s="70">
        <v>200000</v>
      </c>
      <c r="D155" s="2"/>
    </row>
    <row r="156" spans="2:4">
      <c r="B156" s="2" t="s">
        <v>216</v>
      </c>
      <c r="C156" s="2"/>
      <c r="D156" s="69">
        <v>260000</v>
      </c>
    </row>
    <row r="157" spans="2:4">
      <c r="B157" s="2" t="s">
        <v>217</v>
      </c>
      <c r="C157" s="2"/>
      <c r="D157" s="70">
        <v>190000</v>
      </c>
    </row>
    <row r="158" spans="2:4">
      <c r="B158" s="2" t="s">
        <v>218</v>
      </c>
      <c r="C158" s="2"/>
      <c r="D158" s="70">
        <v>75000</v>
      </c>
    </row>
    <row r="159" spans="2:4">
      <c r="B159" s="2" t="s">
        <v>219</v>
      </c>
      <c r="C159" s="2"/>
      <c r="D159" s="70">
        <v>55000</v>
      </c>
    </row>
    <row r="160" spans="2:4">
      <c r="B160" s="55" t="s">
        <v>220</v>
      </c>
      <c r="C160" s="17">
        <v>580000</v>
      </c>
      <c r="D160" s="17">
        <v>580000</v>
      </c>
    </row>
    <row r="162" spans="2:5">
      <c r="B162" s="2" t="s">
        <v>57</v>
      </c>
      <c r="C162" s="69">
        <v>15600000</v>
      </c>
      <c r="D162" s="6"/>
    </row>
    <row r="163" spans="2:5">
      <c r="B163" s="13" t="s">
        <v>221</v>
      </c>
      <c r="C163" s="6"/>
      <c r="D163" s="69">
        <v>15600000</v>
      </c>
    </row>
    <row r="164" spans="2:5">
      <c r="B164" s="55" t="s">
        <v>220</v>
      </c>
      <c r="C164" s="2"/>
      <c r="D164" s="2"/>
    </row>
    <row r="167" spans="2:5">
      <c r="B167" s="2" t="s">
        <v>14</v>
      </c>
      <c r="C167" s="69">
        <v>600000</v>
      </c>
      <c r="D167" s="6"/>
    </row>
    <row r="168" spans="2:5">
      <c r="B168" s="2" t="s">
        <v>222</v>
      </c>
      <c r="C168" s="6"/>
      <c r="D168" s="69">
        <v>600000</v>
      </c>
    </row>
    <row r="171" spans="2:5">
      <c r="B171" s="2" t="s">
        <v>223</v>
      </c>
      <c r="C171" s="69">
        <v>2000000</v>
      </c>
      <c r="D171" s="6"/>
    </row>
    <row r="172" spans="2:5">
      <c r="B172" s="2" t="s">
        <v>219</v>
      </c>
      <c r="C172" s="6"/>
      <c r="D172" s="69">
        <v>2000000</v>
      </c>
    </row>
    <row r="173" spans="2:5">
      <c r="B173" s="2" t="s">
        <v>224</v>
      </c>
      <c r="C173" s="2"/>
      <c r="D173" s="2"/>
    </row>
    <row r="175" spans="2:5">
      <c r="B175" s="2" t="s">
        <v>225</v>
      </c>
      <c r="C175" s="69">
        <v>2200000</v>
      </c>
      <c r="D175" s="2"/>
      <c r="E175" s="71" t="s">
        <v>236</v>
      </c>
    </row>
    <row r="176" spans="2:5">
      <c r="B176" s="2" t="s">
        <v>226</v>
      </c>
      <c r="C176" s="2"/>
      <c r="D176" s="70">
        <v>2200000</v>
      </c>
    </row>
    <row r="177" spans="2:10">
      <c r="B177" s="2" t="s">
        <v>227</v>
      </c>
      <c r="C177" s="2"/>
      <c r="D177" s="2"/>
    </row>
    <row r="180" spans="2:10">
      <c r="B180" s="2" t="s">
        <v>228</v>
      </c>
      <c r="C180" s="70">
        <v>550000</v>
      </c>
      <c r="D180" s="2"/>
    </row>
    <row r="181" spans="2:10">
      <c r="B181" s="2" t="s">
        <v>20</v>
      </c>
      <c r="C181" s="4"/>
      <c r="D181" s="72">
        <v>5500</v>
      </c>
    </row>
    <row r="182" spans="2:10">
      <c r="B182" s="2" t="s">
        <v>219</v>
      </c>
      <c r="C182" s="2"/>
      <c r="D182" s="70">
        <v>544500</v>
      </c>
    </row>
    <row r="185" spans="2:10">
      <c r="B185" s="2" t="s">
        <v>229</v>
      </c>
      <c r="C185" s="73">
        <v>222750</v>
      </c>
      <c r="D185" s="2"/>
    </row>
    <row r="186" spans="2:10">
      <c r="B186" s="2" t="s">
        <v>230</v>
      </c>
      <c r="C186" s="73">
        <v>94500</v>
      </c>
      <c r="D186" s="2"/>
    </row>
    <row r="187" spans="2:10">
      <c r="B187" s="2" t="s">
        <v>219</v>
      </c>
      <c r="C187" s="2"/>
      <c r="D187" s="70">
        <v>317250</v>
      </c>
    </row>
    <row r="190" spans="2:10">
      <c r="B190" s="14" t="s">
        <v>139</v>
      </c>
      <c r="C190" s="69">
        <v>350000</v>
      </c>
      <c r="D190" s="6"/>
    </row>
    <row r="191" spans="2:10">
      <c r="B191" s="14" t="s">
        <v>140</v>
      </c>
      <c r="C191" s="69">
        <v>200000</v>
      </c>
      <c r="D191" s="6"/>
      <c r="J191" s="67"/>
    </row>
    <row r="192" spans="2:10">
      <c r="B192" s="14" t="s">
        <v>141</v>
      </c>
      <c r="C192" s="69">
        <v>500000</v>
      </c>
      <c r="D192" s="6"/>
    </row>
    <row r="193" spans="2:4">
      <c r="B193" s="13" t="s">
        <v>142</v>
      </c>
      <c r="C193" s="69">
        <v>500000</v>
      </c>
      <c r="D193" s="6"/>
    </row>
    <row r="194" spans="2:4">
      <c r="B194" s="13" t="s">
        <v>14</v>
      </c>
      <c r="C194" s="69">
        <v>100000</v>
      </c>
      <c r="D194" s="6"/>
    </row>
    <row r="195" spans="2:4">
      <c r="B195" s="13" t="s">
        <v>143</v>
      </c>
      <c r="C195" s="69">
        <v>2350</v>
      </c>
      <c r="D195" s="6"/>
    </row>
    <row r="196" spans="2:4">
      <c r="B196" s="13" t="s">
        <v>231</v>
      </c>
      <c r="C196" s="6"/>
      <c r="D196" s="69">
        <v>800000</v>
      </c>
    </row>
    <row r="197" spans="2:4">
      <c r="B197" s="13" t="s">
        <v>232</v>
      </c>
      <c r="C197" s="6"/>
      <c r="D197" s="69">
        <v>500000</v>
      </c>
    </row>
    <row r="198" spans="2:4">
      <c r="B198" s="13" t="s">
        <v>233</v>
      </c>
      <c r="C198" s="6"/>
      <c r="D198" s="69">
        <v>352350</v>
      </c>
    </row>
    <row r="199" spans="2:4">
      <c r="B199" s="24"/>
      <c r="C199" s="23">
        <v>1652350</v>
      </c>
      <c r="D199" s="23">
        <v>1652350</v>
      </c>
    </row>
    <row r="201" spans="2:4">
      <c r="B201" s="13" t="s">
        <v>160</v>
      </c>
      <c r="C201" s="69">
        <v>202020.20202020204</v>
      </c>
      <c r="D201" s="6"/>
    </row>
    <row r="202" spans="2:4">
      <c r="B202" s="13" t="s">
        <v>20</v>
      </c>
      <c r="C202" s="6">
        <v>0</v>
      </c>
      <c r="D202" s="69">
        <v>2020.2020202020203</v>
      </c>
    </row>
    <row r="203" spans="2:4">
      <c r="B203" s="13" t="s">
        <v>234</v>
      </c>
      <c r="C203" s="6"/>
      <c r="D203" s="69">
        <v>200000.00000000003</v>
      </c>
    </row>
  </sheetData>
  <autoFilter ref="B3:P108" xr:uid="{8ECC47DB-201E-4747-AC63-810E17CC0BC6}"/>
  <mergeCells count="1">
    <mergeCell ref="M2:N2"/>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A93C-5B8B-4A7D-A0AE-4AF0E80CF40F}">
  <sheetPr>
    <tabColor rgb="FF00B050"/>
  </sheetPr>
  <dimension ref="A1:G72"/>
  <sheetViews>
    <sheetView showGridLines="0" view="pageBreakPreview" topLeftCell="A36" zoomScaleNormal="100" zoomScaleSheetLayoutView="100" workbookViewId="0">
      <selection activeCell="C50" sqref="C50"/>
    </sheetView>
  </sheetViews>
  <sheetFormatPr defaultColWidth="9.1796875" defaultRowHeight="13.5"/>
  <cols>
    <col min="1" max="1" width="6.453125" style="180" bestFit="1" customWidth="1"/>
    <col min="2" max="2" width="45.26953125" style="180" customWidth="1"/>
    <col min="3" max="3" width="17.6328125" style="241" customWidth="1"/>
    <col min="4" max="4" width="16.453125" style="340" customWidth="1"/>
    <col min="5" max="5" width="18.08984375" style="180" hidden="1" customWidth="1"/>
    <col min="6" max="6" width="18.81640625" style="180" hidden="1" customWidth="1"/>
    <col min="7" max="16384" width="9.1796875" style="180"/>
  </cols>
  <sheetData>
    <row r="1" spans="1:7" ht="17.5">
      <c r="A1" s="327" t="str">
        <f>'[5]3.3'!A1:E1</f>
        <v>CELER MART PVT. LTD.</v>
      </c>
      <c r="B1" s="327"/>
      <c r="C1" s="327"/>
      <c r="D1" s="327"/>
      <c r="E1" s="327"/>
      <c r="F1" s="214"/>
      <c r="G1" s="214"/>
    </row>
    <row r="2" spans="1:7" ht="18">
      <c r="D2" s="338"/>
      <c r="E2" s="215"/>
      <c r="F2" s="216"/>
      <c r="G2" s="215"/>
    </row>
    <row r="3" spans="1:7" ht="20" customHeight="1">
      <c r="A3" s="328" t="s">
        <v>337</v>
      </c>
      <c r="B3" s="328"/>
      <c r="C3" s="328"/>
      <c r="D3" s="328"/>
      <c r="E3" s="328"/>
      <c r="F3" s="237"/>
      <c r="G3" s="237"/>
    </row>
    <row r="4" spans="1:7" ht="20" customHeight="1">
      <c r="D4" s="338"/>
      <c r="E4" s="217"/>
      <c r="F4" s="215"/>
      <c r="G4" s="215"/>
    </row>
    <row r="5" spans="1:7" ht="20" customHeight="1" thickBot="1">
      <c r="A5" s="218"/>
      <c r="B5" s="218"/>
      <c r="C5" s="358"/>
      <c r="D5" s="339"/>
      <c r="E5" s="182"/>
      <c r="F5" s="182" t="s">
        <v>276</v>
      </c>
    </row>
    <row r="6" spans="1:7" ht="20" customHeight="1"/>
    <row r="7" spans="1:7" ht="20" customHeight="1">
      <c r="A7" s="183">
        <v>3.9</v>
      </c>
      <c r="B7" s="95" t="s">
        <v>453</v>
      </c>
      <c r="C7" s="359"/>
      <c r="D7" s="341"/>
      <c r="E7" s="89"/>
    </row>
    <row r="8" spans="1:7" ht="20" customHeight="1">
      <c r="B8" s="88"/>
      <c r="C8" s="360" t="s">
        <v>584</v>
      </c>
      <c r="D8" s="342" t="str">
        <f>'3.7 to 3.8 10.18'!D8</f>
        <v xml:space="preserve">As at </v>
      </c>
      <c r="E8" s="238" t="str">
        <f>'3.7 to 3.8 10.18'!E8</f>
        <v xml:space="preserve">As at </v>
      </c>
      <c r="F8" s="238" t="str">
        <f>E8</f>
        <v xml:space="preserve">As at </v>
      </c>
    </row>
    <row r="9" spans="1:7" ht="20" customHeight="1" thickBot="1">
      <c r="B9" s="95"/>
      <c r="C9" s="361" t="s">
        <v>598</v>
      </c>
      <c r="D9" s="343" t="str">
        <f>'SOFP  10.18'!C6</f>
        <v>18 Magh 2082</v>
      </c>
      <c r="E9" s="120" t="str">
        <f>'SOFP  10.18'!D6</f>
        <v>32 Ashadh 2082</v>
      </c>
      <c r="F9" s="120" t="str">
        <f>'SOFP  10.18'!E6</f>
        <v>1 Shrawan 2081</v>
      </c>
    </row>
    <row r="10" spans="1:7" ht="20" customHeight="1">
      <c r="B10" s="239" t="s">
        <v>454</v>
      </c>
      <c r="C10" s="362"/>
      <c r="D10" s="344"/>
      <c r="E10" s="96"/>
    </row>
    <row r="11" spans="1:7" ht="20" customHeight="1">
      <c r="B11" s="240" t="s">
        <v>455</v>
      </c>
      <c r="C11" s="363"/>
      <c r="D11" s="98">
        <v>0</v>
      </c>
      <c r="E11" s="224">
        <v>0</v>
      </c>
      <c r="F11" s="241">
        <v>0</v>
      </c>
    </row>
    <row r="12" spans="1:7" ht="20" customHeight="1">
      <c r="B12" s="240" t="s">
        <v>456</v>
      </c>
      <c r="C12" s="363"/>
      <c r="D12" s="98">
        <v>0</v>
      </c>
      <c r="E12" s="224">
        <v>0</v>
      </c>
      <c r="F12" s="241">
        <v>20756010</v>
      </c>
    </row>
    <row r="13" spans="1:7" ht="20" customHeight="1">
      <c r="B13" s="240" t="s">
        <v>145</v>
      </c>
      <c r="C13" s="363"/>
      <c r="D13" s="98">
        <f>'TB update upto 10.18'!H49</f>
        <v>2200000</v>
      </c>
      <c r="E13" s="98">
        <v>2200000</v>
      </c>
      <c r="F13" s="241"/>
    </row>
    <row r="14" spans="1:7" ht="20" customHeight="1">
      <c r="B14" s="240" t="s">
        <v>457</v>
      </c>
      <c r="C14" s="363"/>
      <c r="D14" s="98">
        <v>0</v>
      </c>
      <c r="E14" s="98">
        <v>1300000</v>
      </c>
      <c r="F14" s="241"/>
    </row>
    <row r="15" spans="1:7" ht="20" customHeight="1">
      <c r="B15" s="240" t="s">
        <v>147</v>
      </c>
      <c r="C15" s="363"/>
      <c r="D15" s="98"/>
      <c r="E15" s="98">
        <v>12000000</v>
      </c>
      <c r="F15" s="241"/>
    </row>
    <row r="16" spans="1:7" ht="20" customHeight="1">
      <c r="B16" s="240" t="s">
        <v>139</v>
      </c>
      <c r="C16" s="364">
        <f>'TB update upto 10.18'!L40</f>
        <v>40000</v>
      </c>
      <c r="D16" s="98">
        <f>'TB update upto 10.18'!H40</f>
        <v>390000</v>
      </c>
      <c r="E16" s="98">
        <v>365000</v>
      </c>
      <c r="F16" s="241"/>
    </row>
    <row r="17" spans="1:6" ht="20" customHeight="1">
      <c r="B17" s="240" t="s">
        <v>458</v>
      </c>
      <c r="C17" s="363"/>
      <c r="D17" s="98">
        <f>'TB update upto 10.18'!H41</f>
        <v>200000</v>
      </c>
      <c r="E17" s="98">
        <v>200000</v>
      </c>
      <c r="F17" s="241"/>
    </row>
    <row r="18" spans="1:6" ht="20" customHeight="1">
      <c r="B18" s="240" t="s">
        <v>141</v>
      </c>
      <c r="C18" s="363"/>
      <c r="D18" s="98">
        <f>'TB update upto 10.18'!H42</f>
        <v>500000</v>
      </c>
      <c r="E18" s="98">
        <v>500000</v>
      </c>
      <c r="F18" s="241"/>
    </row>
    <row r="19" spans="1:6" ht="20" customHeight="1">
      <c r="B19" s="240" t="s">
        <v>459</v>
      </c>
      <c r="C19" s="363"/>
      <c r="D19" s="98">
        <f>'TB update upto 10.18'!H47</f>
        <v>380000</v>
      </c>
      <c r="E19" s="98">
        <v>600000</v>
      </c>
      <c r="F19" s="241"/>
    </row>
    <row r="20" spans="1:6" ht="20" customHeight="1">
      <c r="B20" s="240" t="s">
        <v>429</v>
      </c>
      <c r="C20" s="363"/>
      <c r="D20" s="98">
        <f>'TB update upto 10.18'!H89</f>
        <v>200000</v>
      </c>
      <c r="E20" s="98">
        <v>0</v>
      </c>
      <c r="F20" s="241"/>
    </row>
    <row r="21" spans="1:6" ht="20" customHeight="1">
      <c r="B21" s="240"/>
      <c r="C21" s="363"/>
      <c r="D21" s="317"/>
      <c r="E21" s="98"/>
      <c r="F21" s="241"/>
    </row>
    <row r="22" spans="1:6" ht="20" customHeight="1">
      <c r="B22" s="240"/>
      <c r="C22" s="363"/>
      <c r="D22" s="98"/>
      <c r="E22" s="98"/>
      <c r="F22" s="241"/>
    </row>
    <row r="23" spans="1:6" ht="20" customHeight="1" thickBot="1">
      <c r="B23" s="88"/>
      <c r="C23" s="227">
        <f>SUM(C11:C20)</f>
        <v>40000</v>
      </c>
      <c r="D23" s="345">
        <f>SUM(D11:D20)</f>
        <v>3870000</v>
      </c>
      <c r="E23" s="202">
        <f>SUM(E11:E20)</f>
        <v>17165000</v>
      </c>
      <c r="F23" s="202">
        <f>SUM(F11:F19)</f>
        <v>20756010</v>
      </c>
    </row>
    <row r="24" spans="1:6" ht="20" customHeight="1" thickTop="1">
      <c r="B24" s="95"/>
      <c r="C24" s="359"/>
      <c r="D24" s="344"/>
      <c r="E24" s="96"/>
    </row>
    <row r="25" spans="1:6" ht="20" customHeight="1">
      <c r="B25" s="242" t="s">
        <v>460</v>
      </c>
      <c r="C25" s="365">
        <f>C23-C26</f>
        <v>40000</v>
      </c>
      <c r="D25" s="346">
        <f>D23-D26</f>
        <v>3870000</v>
      </c>
      <c r="E25" s="113">
        <f>E23-E26</f>
        <v>17165000</v>
      </c>
      <c r="F25" s="243">
        <f>F23-F26</f>
        <v>20756010</v>
      </c>
    </row>
    <row r="26" spans="1:6" ht="20" customHeight="1">
      <c r="B26" s="242" t="s">
        <v>461</v>
      </c>
      <c r="C26" s="365">
        <f>C11</f>
        <v>0</v>
      </c>
      <c r="D26" s="346">
        <f>D11</f>
        <v>0</v>
      </c>
      <c r="E26" s="113">
        <f>E11</f>
        <v>0</v>
      </c>
      <c r="F26" s="113">
        <f>F11</f>
        <v>0</v>
      </c>
    </row>
    <row r="27" spans="1:6" ht="20" customHeight="1">
      <c r="B27" s="88"/>
      <c r="C27" s="366"/>
      <c r="D27" s="341"/>
      <c r="E27" s="89"/>
      <c r="F27" s="89"/>
    </row>
    <row r="28" spans="1:6" ht="20" customHeight="1">
      <c r="B28" s="88"/>
      <c r="C28" s="366"/>
      <c r="D28" s="341"/>
      <c r="E28" s="89"/>
    </row>
    <row r="29" spans="1:6" ht="20" customHeight="1">
      <c r="A29" s="244" t="s">
        <v>266</v>
      </c>
      <c r="B29" s="95" t="s">
        <v>267</v>
      </c>
      <c r="C29" s="359"/>
      <c r="D29" s="341"/>
      <c r="E29" s="89"/>
    </row>
    <row r="30" spans="1:6" ht="20" customHeight="1">
      <c r="B30" s="95"/>
      <c r="C30" s="359"/>
      <c r="D30" s="344"/>
      <c r="E30" s="96"/>
    </row>
    <row r="31" spans="1:6" ht="20" customHeight="1">
      <c r="B31" s="88"/>
      <c r="C31" s="360" t="str">
        <f t="shared" ref="C31:F32" si="0">C8</f>
        <v>As at</v>
      </c>
      <c r="D31" s="342" t="str">
        <f t="shared" si="0"/>
        <v xml:space="preserve">As at </v>
      </c>
      <c r="E31" s="238" t="str">
        <f t="shared" si="0"/>
        <v xml:space="preserve">As at </v>
      </c>
      <c r="F31" s="238" t="str">
        <f t="shared" si="0"/>
        <v xml:space="preserve">As at </v>
      </c>
    </row>
    <row r="32" spans="1:6" ht="20" customHeight="1">
      <c r="B32" s="95"/>
      <c r="C32" s="367" t="str">
        <f t="shared" si="0"/>
        <v>15 Asadh 2083</v>
      </c>
      <c r="D32" s="347" t="str">
        <f t="shared" si="0"/>
        <v>18 Magh 2082</v>
      </c>
      <c r="E32" s="245" t="str">
        <f t="shared" si="0"/>
        <v>32 Ashadh 2082</v>
      </c>
      <c r="F32" s="245" t="str">
        <f t="shared" si="0"/>
        <v>1 Shrawan 2081</v>
      </c>
    </row>
    <row r="33" spans="1:7" ht="20" customHeight="1">
      <c r="B33" s="239"/>
      <c r="C33" s="362"/>
      <c r="D33" s="344"/>
      <c r="E33" s="96"/>
      <c r="F33" s="96"/>
    </row>
    <row r="34" spans="1:7" ht="20" customHeight="1">
      <c r="B34" s="246" t="s">
        <v>462</v>
      </c>
      <c r="C34" s="368"/>
      <c r="D34" s="98">
        <v>0</v>
      </c>
      <c r="E34" s="224">
        <v>0</v>
      </c>
      <c r="F34" s="224"/>
    </row>
    <row r="35" spans="1:7" ht="20" customHeight="1">
      <c r="B35" s="246" t="s">
        <v>463</v>
      </c>
      <c r="C35" s="171"/>
      <c r="D35" s="101"/>
      <c r="E35" s="171"/>
      <c r="F35" s="171"/>
    </row>
    <row r="36" spans="1:7" ht="20" customHeight="1" thickBot="1">
      <c r="B36" s="88"/>
      <c r="C36" s="227">
        <f>SUM(C34:C35)</f>
        <v>0</v>
      </c>
      <c r="D36" s="345">
        <f>SUM(D34:D35)</f>
        <v>0</v>
      </c>
      <c r="E36" s="202">
        <f>SUM(E34:E35)</f>
        <v>0</v>
      </c>
      <c r="F36" s="202">
        <f>SUM(F34:F35)</f>
        <v>0</v>
      </c>
    </row>
    <row r="37" spans="1:7" ht="20" customHeight="1" thickTop="1">
      <c r="B37" s="88"/>
      <c r="C37" s="366"/>
      <c r="D37" s="341"/>
      <c r="E37" s="89"/>
    </row>
    <row r="38" spans="1:7" ht="20" customHeight="1">
      <c r="A38" s="244">
        <v>3.11</v>
      </c>
      <c r="B38" s="95" t="s">
        <v>270</v>
      </c>
      <c r="C38" s="359"/>
      <c r="D38" s="341"/>
      <c r="E38" s="89"/>
    </row>
    <row r="39" spans="1:7" ht="20" customHeight="1">
      <c r="B39" s="95"/>
      <c r="C39" s="360" t="str">
        <f t="shared" ref="C39:F40" si="1">C31</f>
        <v>As at</v>
      </c>
      <c r="D39" s="342" t="str">
        <f t="shared" si="1"/>
        <v xml:space="preserve">As at </v>
      </c>
      <c r="E39" s="238" t="str">
        <f t="shared" si="1"/>
        <v xml:space="preserve">As at </v>
      </c>
      <c r="F39" s="238" t="str">
        <f t="shared" si="1"/>
        <v xml:space="preserve">As at </v>
      </c>
    </row>
    <row r="40" spans="1:7" ht="20" customHeight="1">
      <c r="C40" s="367" t="str">
        <f t="shared" si="1"/>
        <v>15 Asadh 2083</v>
      </c>
      <c r="D40" s="347" t="str">
        <f t="shared" si="1"/>
        <v>18 Magh 2082</v>
      </c>
      <c r="E40" s="245" t="str">
        <f t="shared" si="1"/>
        <v>32 Ashadh 2082</v>
      </c>
      <c r="F40" s="245" t="str">
        <f t="shared" si="1"/>
        <v>1 Shrawan 2081</v>
      </c>
    </row>
    <row r="41" spans="1:7" ht="20" customHeight="1">
      <c r="B41" s="240" t="s">
        <v>464</v>
      </c>
      <c r="C41" s="369">
        <f>'TB update upto 10.18'!L26</f>
        <v>900</v>
      </c>
      <c r="D41" s="98">
        <f>'TB update upto 10.18'!H26</f>
        <v>825</v>
      </c>
      <c r="E41" s="224">
        <v>375</v>
      </c>
      <c r="F41" s="224">
        <v>375</v>
      </c>
    </row>
    <row r="42" spans="1:7" ht="20" customHeight="1">
      <c r="B42" s="240" t="s">
        <v>130</v>
      </c>
      <c r="C42" s="369">
        <f>'TB update upto 10.18'!L27</f>
        <v>13420.202020202021</v>
      </c>
      <c r="D42" s="98">
        <f>'TB update upto 10.18'!H27</f>
        <v>29900</v>
      </c>
      <c r="E42" s="224">
        <v>25750</v>
      </c>
      <c r="F42" s="224">
        <v>248</v>
      </c>
    </row>
    <row r="43" spans="1:7" ht="20" customHeight="1">
      <c r="B43" s="240" t="s">
        <v>465</v>
      </c>
      <c r="C43" s="363"/>
      <c r="D43" s="98">
        <f>'TB update upto 10.18'!H30</f>
        <v>24000</v>
      </c>
      <c r="E43" s="98">
        <v>24000</v>
      </c>
      <c r="F43" s="98">
        <v>0</v>
      </c>
      <c r="G43" s="180" t="s">
        <v>466</v>
      </c>
    </row>
    <row r="44" spans="1:7" ht="20" customHeight="1">
      <c r="B44" s="240" t="s">
        <v>133</v>
      </c>
      <c r="C44" s="363"/>
      <c r="D44" s="98">
        <f>'TB update upto 10.18'!H31</f>
        <v>6600</v>
      </c>
      <c r="E44" s="98">
        <v>6600</v>
      </c>
      <c r="F44" s="98">
        <v>0</v>
      </c>
    </row>
    <row r="45" spans="1:7" ht="20" customHeight="1">
      <c r="B45" s="240" t="s">
        <v>467</v>
      </c>
      <c r="C45" s="369">
        <f>'TB update upto 10.18'!L33</f>
        <v>66900</v>
      </c>
      <c r="D45" s="98">
        <f>'TB update upto 10.18'!H33</f>
        <v>61325</v>
      </c>
      <c r="E45" s="98">
        <v>27875</v>
      </c>
      <c r="F45" s="98">
        <v>27875</v>
      </c>
    </row>
    <row r="46" spans="1:7" ht="20" customHeight="1">
      <c r="B46" s="240" t="s">
        <v>136</v>
      </c>
      <c r="C46" s="363"/>
      <c r="D46" s="98">
        <f>'TB update upto 10.18'!H37</f>
        <v>222750</v>
      </c>
      <c r="E46" s="98">
        <v>222750</v>
      </c>
      <c r="F46" s="98">
        <v>0</v>
      </c>
    </row>
    <row r="47" spans="1:7" ht="20" customHeight="1">
      <c r="B47" s="240" t="s">
        <v>137</v>
      </c>
      <c r="C47" s="363"/>
      <c r="D47" s="98">
        <f>'TB update upto 10.18'!H38</f>
        <v>94500</v>
      </c>
      <c r="E47" s="98">
        <v>94500</v>
      </c>
      <c r="F47" s="98">
        <v>0</v>
      </c>
    </row>
    <row r="48" spans="1:7" ht="20" customHeight="1">
      <c r="B48" s="240" t="s">
        <v>468</v>
      </c>
      <c r="C48" s="369">
        <f>'TB update upto 10.18'!L28</f>
        <v>7275</v>
      </c>
      <c r="D48" s="98">
        <f>'TB update upto 10.18'!H28</f>
        <v>7275</v>
      </c>
      <c r="E48" s="98"/>
      <c r="F48" s="98"/>
    </row>
    <row r="49" spans="2:6" ht="20" customHeight="1">
      <c r="B49" s="240" t="s">
        <v>602</v>
      </c>
      <c r="C49" s="369">
        <f>'TB update upto 10.18'!L29</f>
        <v>4500</v>
      </c>
      <c r="D49" s="98"/>
      <c r="E49" s="98"/>
      <c r="F49" s="98"/>
    </row>
    <row r="50" spans="2:6" ht="20" customHeight="1" thickBot="1">
      <c r="B50" s="88"/>
      <c r="C50" s="195">
        <f>SUM(C41:C49)</f>
        <v>92995.202020202021</v>
      </c>
      <c r="D50" s="195">
        <f>SUM(D41:D49)</f>
        <v>447175</v>
      </c>
      <c r="E50" s="227">
        <f>SUM(E41:E47)</f>
        <v>401850</v>
      </c>
      <c r="F50" s="227">
        <f>SUM(F41:F47)</f>
        <v>28498</v>
      </c>
    </row>
    <row r="51" spans="2:6" ht="20" customHeight="1" thickTop="1">
      <c r="B51" s="88" t="s">
        <v>469</v>
      </c>
      <c r="C51" s="366"/>
      <c r="D51" s="104"/>
      <c r="E51" s="247"/>
      <c r="F51" s="247"/>
    </row>
    <row r="52" spans="2:6" ht="20" customHeight="1">
      <c r="B52" s="88" t="str">
        <f>[5]Sheet1!A8</f>
        <v>Sita Karki</v>
      </c>
      <c r="C52" s="307">
        <f>'TB update upto 10.18'!L44</f>
        <v>0</v>
      </c>
      <c r="D52" s="197">
        <f>'TB update upto 10.18'!H44</f>
        <v>700000</v>
      </c>
      <c r="E52" s="247"/>
      <c r="F52" s="247"/>
    </row>
    <row r="53" spans="2:6" ht="20" customHeight="1">
      <c r="B53" s="88" t="str">
        <f>[5]Sheet1!A19</f>
        <v>Mamata Acharya - Payable</v>
      </c>
      <c r="C53" s="366"/>
      <c r="D53" s="197"/>
      <c r="E53" s="247"/>
      <c r="F53" s="247"/>
    </row>
    <row r="54" spans="2:6" ht="20" customHeight="1">
      <c r="B54" t="s">
        <v>33</v>
      </c>
      <c r="C54" s="11"/>
      <c r="D54" s="25"/>
      <c r="E54" s="25">
        <v>0</v>
      </c>
      <c r="F54" s="247"/>
    </row>
    <row r="55" spans="2:6" ht="20" customHeight="1">
      <c r="B55" t="s">
        <v>37</v>
      </c>
      <c r="C55" s="364">
        <f>'TB update upto 10.18'!L46</f>
        <v>2000</v>
      </c>
      <c r="D55" s="25">
        <f>'TB update upto 10.18'!H46</f>
        <v>2000</v>
      </c>
      <c r="E55" s="25"/>
      <c r="F55" s="247"/>
    </row>
    <row r="56" spans="2:6" ht="20" customHeight="1">
      <c r="B56" t="s">
        <v>39</v>
      </c>
      <c r="C56" s="11"/>
      <c r="D56" s="25"/>
      <c r="E56" s="25">
        <v>0</v>
      </c>
      <c r="F56" s="247"/>
    </row>
    <row r="57" spans="2:6" ht="20" customHeight="1">
      <c r="B57" t="s">
        <v>40</v>
      </c>
      <c r="C57" s="11"/>
      <c r="D57" s="25"/>
      <c r="E57" s="25">
        <v>0</v>
      </c>
      <c r="F57" s="247"/>
    </row>
    <row r="58" spans="2:6" ht="20" customHeight="1">
      <c r="B58" t="s">
        <v>44</v>
      </c>
      <c r="C58" s="11"/>
      <c r="D58" s="25"/>
      <c r="E58" s="25"/>
      <c r="F58" s="247"/>
    </row>
    <row r="59" spans="2:6" ht="20" customHeight="1">
      <c r="B59" t="s">
        <v>53</v>
      </c>
      <c r="C59" s="11"/>
      <c r="D59" s="25"/>
      <c r="E59" s="25"/>
      <c r="F59" s="247"/>
    </row>
    <row r="60" spans="2:6" ht="20" customHeight="1">
      <c r="B60" t="s">
        <v>58</v>
      </c>
      <c r="C60" s="11"/>
      <c r="D60" s="25"/>
      <c r="E60" s="25"/>
      <c r="F60" s="247"/>
    </row>
    <row r="61" spans="2:6" ht="20" customHeight="1">
      <c r="B61" t="s">
        <v>73</v>
      </c>
      <c r="C61" s="11"/>
      <c r="D61" s="25">
        <f>'TB update upto 10.18'!H107</f>
        <v>40000</v>
      </c>
      <c r="E61" s="25"/>
      <c r="F61" s="247"/>
    </row>
    <row r="62" spans="2:6" ht="20" customHeight="1">
      <c r="B62" t="s">
        <v>603</v>
      </c>
      <c r="C62" s="11">
        <f>'TB update upto 10.18'!L98</f>
        <v>190000</v>
      </c>
      <c r="D62" s="25"/>
      <c r="E62" s="25"/>
      <c r="F62" s="247"/>
    </row>
    <row r="63" spans="2:6" s="88" customFormat="1" ht="20" customHeight="1">
      <c r="C63" s="359">
        <f>SUM(C52:C62)</f>
        <v>192000</v>
      </c>
      <c r="D63" s="318">
        <f>SUM(D52:D62)</f>
        <v>742000</v>
      </c>
    </row>
    <row r="64" spans="2:6" ht="20" customHeight="1">
      <c r="B64" s="88"/>
      <c r="C64" s="366"/>
      <c r="D64" s="104"/>
      <c r="E64" s="247"/>
      <c r="F64" s="247"/>
    </row>
    <row r="65" spans="1:6" ht="20" customHeight="1">
      <c r="B65" s="88"/>
      <c r="C65" s="366"/>
      <c r="D65" s="104"/>
      <c r="E65" s="247"/>
      <c r="F65" s="247"/>
    </row>
    <row r="66" spans="1:6" ht="20" customHeight="1">
      <c r="A66" s="244">
        <v>3.12</v>
      </c>
      <c r="B66" s="95" t="s">
        <v>470</v>
      </c>
      <c r="C66" s="359"/>
      <c r="D66" s="341"/>
      <c r="E66" s="89"/>
    </row>
    <row r="67" spans="1:6" ht="20" customHeight="1">
      <c r="B67" s="95"/>
      <c r="C67" s="359"/>
      <c r="D67" s="342" t="str">
        <f t="shared" ref="D67:F68" si="2">D39</f>
        <v xml:space="preserve">As at </v>
      </c>
      <c r="E67" s="238" t="str">
        <f t="shared" si="2"/>
        <v xml:space="preserve">As at </v>
      </c>
      <c r="F67" s="238" t="str">
        <f t="shared" si="2"/>
        <v xml:space="preserve">As at </v>
      </c>
    </row>
    <row r="68" spans="1:6" ht="20" customHeight="1">
      <c r="D68" s="347" t="str">
        <f t="shared" si="2"/>
        <v>18 Magh 2082</v>
      </c>
      <c r="E68" s="245" t="str">
        <f t="shared" si="2"/>
        <v>32 Ashadh 2082</v>
      </c>
      <c r="F68" s="245" t="str">
        <f t="shared" si="2"/>
        <v>1 Shrawan 2081</v>
      </c>
    </row>
    <row r="69" spans="1:6" ht="20" customHeight="1">
      <c r="B69" s="240" t="s">
        <v>471</v>
      </c>
      <c r="C69" s="363"/>
      <c r="D69" s="98">
        <v>0</v>
      </c>
      <c r="E69" s="224">
        <v>0</v>
      </c>
      <c r="F69" s="224">
        <v>0</v>
      </c>
    </row>
    <row r="70" spans="1:6" ht="20" customHeight="1">
      <c r="B70" s="240"/>
      <c r="C70" s="363"/>
      <c r="D70" s="98"/>
      <c r="E70" s="224"/>
      <c r="F70" s="224"/>
    </row>
    <row r="71" spans="1:6" ht="20" customHeight="1" thickBot="1">
      <c r="B71" s="88"/>
      <c r="C71" s="366"/>
      <c r="D71" s="195">
        <f>SUM(D69:D70)</f>
        <v>0</v>
      </c>
      <c r="E71" s="227">
        <f>SUM(E69:E70)</f>
        <v>0</v>
      </c>
      <c r="F71" s="227">
        <f>SUM(F69:F70)</f>
        <v>0</v>
      </c>
    </row>
    <row r="72" spans="1:6" ht="14" thickTop="1"/>
  </sheetData>
  <mergeCells count="2">
    <mergeCell ref="A1:E1"/>
    <mergeCell ref="A3:E3"/>
  </mergeCells>
  <pageMargins left="0.7" right="0.7" top="0.75" bottom="0.75" header="0.3" footer="0.3"/>
  <pageSetup scale="97" orientation="portrait" r:id="rId1"/>
  <rowBreaks count="2" manualBreakCount="2">
    <brk id="27" max="3" man="1"/>
    <brk id="64" max="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D8FB2-EB31-49E1-8795-549AFAF5AEBF}">
  <sheetPr>
    <tabColor rgb="FF00B050"/>
  </sheetPr>
  <dimension ref="A1:K62"/>
  <sheetViews>
    <sheetView showGridLines="0" view="pageBreakPreview" topLeftCell="A36" zoomScaleNormal="100" zoomScaleSheetLayoutView="100" workbookViewId="0">
      <selection activeCell="D50" sqref="D50"/>
    </sheetView>
  </sheetViews>
  <sheetFormatPr defaultColWidth="9.1796875" defaultRowHeight="13.5"/>
  <cols>
    <col min="1" max="1" width="6" style="180" customWidth="1"/>
    <col min="2" max="2" width="35.6328125" style="180" customWidth="1"/>
    <col min="3" max="3" width="8.81640625" style="180" customWidth="1"/>
    <col min="4" max="5" width="16.81640625" style="180" customWidth="1"/>
    <col min="6" max="6" width="16" style="180" hidden="1" customWidth="1"/>
    <col min="7" max="7" width="9.1796875" style="180"/>
    <col min="8" max="9" width="14.81640625" style="180" bestFit="1" customWidth="1"/>
    <col min="10" max="10" width="9.1796875" style="180"/>
    <col min="11" max="11" width="14.81640625" style="180" bestFit="1" customWidth="1"/>
    <col min="12" max="16384" width="9.1796875" style="180"/>
  </cols>
  <sheetData>
    <row r="1" spans="1:6" ht="17.5">
      <c r="A1" s="214" t="str">
        <f>'[5]3.3'!A1:E1</f>
        <v>CELER MART PVT. LTD.</v>
      </c>
      <c r="B1" s="214"/>
      <c r="C1" s="214"/>
      <c r="D1" s="214"/>
      <c r="E1" s="214"/>
      <c r="F1" s="214"/>
    </row>
    <row r="2" spans="1:6" ht="18">
      <c r="B2" s="213"/>
      <c r="C2" s="214"/>
      <c r="D2" s="216"/>
      <c r="E2" s="216"/>
      <c r="F2" s="215"/>
    </row>
    <row r="3" spans="1:6" ht="20" customHeight="1">
      <c r="B3" s="237" t="s">
        <v>337</v>
      </c>
      <c r="C3" s="237"/>
      <c r="D3" s="237"/>
      <c r="E3" s="237"/>
      <c r="F3" s="237"/>
    </row>
    <row r="4" spans="1:6" ht="20" customHeight="1">
      <c r="B4" s="213"/>
      <c r="C4" s="214"/>
      <c r="D4" s="215"/>
      <c r="E4" s="215"/>
      <c r="F4" s="215"/>
    </row>
    <row r="5" spans="1:6" ht="20" customHeight="1" thickBot="1">
      <c r="A5" s="218"/>
      <c r="B5" s="218"/>
      <c r="C5" s="219"/>
      <c r="D5" s="219"/>
      <c r="E5" s="219"/>
      <c r="F5" s="182" t="s">
        <v>276</v>
      </c>
    </row>
    <row r="6" spans="1:6" ht="20" customHeight="1"/>
    <row r="7" spans="1:6" ht="20" customHeight="1">
      <c r="A7" s="183">
        <v>3.7</v>
      </c>
      <c r="B7" s="95" t="s">
        <v>114</v>
      </c>
      <c r="C7" s="89"/>
      <c r="D7" s="88"/>
      <c r="E7" s="88"/>
      <c r="F7" s="88"/>
    </row>
    <row r="8" spans="1:6" ht="20" customHeight="1">
      <c r="A8" s="183"/>
      <c r="B8" s="95"/>
      <c r="C8" s="89"/>
      <c r="D8" s="250" t="s">
        <v>584</v>
      </c>
      <c r="E8" s="250" t="str">
        <f>'3.4 to 3.6 ao 10.18'!D6</f>
        <v xml:space="preserve">As at </v>
      </c>
      <c r="F8" s="250" t="str">
        <f>'3.4 to 3.6 ao 10.18'!E6</f>
        <v xml:space="preserve">As at </v>
      </c>
    </row>
    <row r="9" spans="1:6" ht="20" customHeight="1" thickBot="1">
      <c r="A9" s="183"/>
      <c r="B9" s="95"/>
      <c r="C9" s="89"/>
      <c r="D9" s="120" t="s">
        <v>598</v>
      </c>
      <c r="E9" s="120" t="str">
        <f>'3.4 to 3.6 ao 10.18'!C7</f>
        <v>18 Magh 2082</v>
      </c>
      <c r="F9" s="120" t="str">
        <f>'3.4 to 3.6 ao 10.18'!D7</f>
        <v>32 Ashadh 2082</v>
      </c>
    </row>
    <row r="10" spans="1:6" ht="20" customHeight="1">
      <c r="A10" s="183"/>
      <c r="B10" s="95"/>
      <c r="C10" s="89"/>
      <c r="D10" s="88"/>
      <c r="E10" s="88"/>
      <c r="F10" s="88"/>
    </row>
    <row r="11" spans="1:6" ht="20" customHeight="1">
      <c r="A11" s="179"/>
      <c r="B11" s="95" t="s">
        <v>472</v>
      </c>
      <c r="C11" s="192"/>
      <c r="D11" s="192"/>
      <c r="E11" s="192"/>
      <c r="F11" s="192"/>
    </row>
    <row r="12" spans="1:6" ht="20" customHeight="1">
      <c r="A12" s="179"/>
      <c r="B12" s="88" t="s">
        <v>473</v>
      </c>
      <c r="C12" s="89"/>
      <c r="D12" s="224"/>
      <c r="E12" s="224">
        <v>26000000</v>
      </c>
      <c r="F12" s="199">
        <f>E12</f>
        <v>26000000</v>
      </c>
    </row>
    <row r="13" spans="1:6" ht="20" customHeight="1">
      <c r="A13" s="179"/>
      <c r="B13" s="95"/>
      <c r="C13" s="96"/>
      <c r="D13" s="96"/>
      <c r="E13" s="96"/>
      <c r="F13" s="96"/>
    </row>
    <row r="14" spans="1:6" ht="20" customHeight="1">
      <c r="A14" s="179"/>
      <c r="B14" s="95" t="s">
        <v>474</v>
      </c>
      <c r="C14" s="89"/>
      <c r="D14" s="88"/>
      <c r="E14" s="88"/>
      <c r="F14" s="88"/>
    </row>
    <row r="15" spans="1:6" ht="20" customHeight="1">
      <c r="A15" s="179"/>
      <c r="B15" s="204" t="s">
        <v>475</v>
      </c>
      <c r="C15" s="89"/>
      <c r="D15" s="88"/>
      <c r="E15" s="88"/>
      <c r="F15" s="88"/>
    </row>
    <row r="16" spans="1:6" ht="20" customHeight="1">
      <c r="A16" s="179"/>
      <c r="B16" s="95"/>
      <c r="C16" s="192"/>
      <c r="D16" s="251"/>
      <c r="E16" s="251" t="s">
        <v>476</v>
      </c>
      <c r="F16" s="251" t="s">
        <v>476</v>
      </c>
    </row>
    <row r="17" spans="1:6" ht="20" customHeight="1">
      <c r="A17" s="179"/>
      <c r="B17" s="179"/>
      <c r="C17" s="89"/>
      <c r="D17" s="252"/>
      <c r="E17" s="252" t="s">
        <v>477</v>
      </c>
      <c r="F17" s="252" t="s">
        <v>478</v>
      </c>
    </row>
    <row r="18" spans="1:6" ht="20" customHeight="1">
      <c r="A18" s="179"/>
      <c r="B18" s="179"/>
      <c r="C18" s="89"/>
      <c r="D18" s="250" t="s">
        <v>584</v>
      </c>
      <c r="E18" s="250" t="s">
        <v>239</v>
      </c>
      <c r="F18" s="250" t="s">
        <v>239</v>
      </c>
    </row>
    <row r="19" spans="1:6" ht="20" customHeight="1" thickBot="1">
      <c r="A19" s="179"/>
      <c r="B19" s="253"/>
      <c r="C19" s="89"/>
      <c r="D19" s="120" t="s">
        <v>598</v>
      </c>
      <c r="E19" s="120" t="s">
        <v>572</v>
      </c>
      <c r="F19" s="120" t="s">
        <v>241</v>
      </c>
    </row>
    <row r="20" spans="1:6" ht="20" customHeight="1">
      <c r="A20" s="179"/>
      <c r="B20" s="254" t="s">
        <v>479</v>
      </c>
      <c r="C20" s="96"/>
      <c r="D20" s="224"/>
      <c r="E20" s="224"/>
      <c r="F20" s="224"/>
    </row>
    <row r="21" spans="1:6" ht="20" customHeight="1">
      <c r="A21" s="179"/>
      <c r="B21" s="220" t="s">
        <v>12</v>
      </c>
      <c r="C21" s="96"/>
      <c r="D21" s="224"/>
      <c r="E21" s="224"/>
      <c r="F21" s="224">
        <v>3200000</v>
      </c>
    </row>
    <row r="22" spans="1:6" ht="20" customHeight="1">
      <c r="A22" s="179"/>
      <c r="B22" s="220" t="s">
        <v>11</v>
      </c>
      <c r="C22" s="96"/>
      <c r="D22" s="224"/>
      <c r="E22" s="224">
        <f>'TB update upto 10.18'!H10</f>
        <v>890000</v>
      </c>
      <c r="F22" s="224">
        <v>3200000</v>
      </c>
    </row>
    <row r="23" spans="1:6" ht="20" customHeight="1">
      <c r="A23" s="179"/>
      <c r="B23" s="88" t="s">
        <v>119</v>
      </c>
      <c r="C23" s="89"/>
      <c r="D23" s="224"/>
      <c r="E23" s="224"/>
      <c r="F23" s="224">
        <v>200000</v>
      </c>
    </row>
    <row r="24" spans="1:6" ht="20" customHeight="1">
      <c r="A24" s="179"/>
      <c r="B24" s="88" t="s">
        <v>120</v>
      </c>
      <c r="C24" s="89"/>
      <c r="D24" s="224"/>
      <c r="E24" s="224"/>
      <c r="F24" s="224">
        <v>1000000</v>
      </c>
    </row>
    <row r="25" spans="1:6" ht="20" customHeight="1">
      <c r="A25" s="179"/>
      <c r="B25" s="88" t="s">
        <v>480</v>
      </c>
      <c r="C25" s="89"/>
      <c r="D25" s="224"/>
      <c r="E25" s="224"/>
      <c r="F25" s="224">
        <v>5000000</v>
      </c>
    </row>
    <row r="26" spans="1:6" ht="20" customHeight="1">
      <c r="A26" s="179"/>
      <c r="B26" s="46" t="s">
        <v>580</v>
      </c>
      <c r="C26" s="89"/>
      <c r="D26" s="224"/>
      <c r="E26" s="224">
        <f>'TB update upto 10.18'!H15</f>
        <v>5000000</v>
      </c>
      <c r="F26" s="224"/>
    </row>
    <row r="27" spans="1:6" ht="20" customHeight="1">
      <c r="A27" s="179"/>
      <c r="B27" s="46" t="s">
        <v>581</v>
      </c>
      <c r="C27" s="89"/>
      <c r="D27" s="224"/>
      <c r="E27" s="224">
        <f>'TB update upto 10.18'!H16</f>
        <v>2510000</v>
      </c>
      <c r="F27" s="224"/>
    </row>
    <row r="28" spans="1:6" ht="20" customHeight="1">
      <c r="A28" s="179"/>
      <c r="B28" s="46" t="s">
        <v>582</v>
      </c>
      <c r="C28" s="89"/>
      <c r="D28" s="224"/>
      <c r="E28" s="224">
        <f>'TB update upto 10.18'!H17</f>
        <v>1260000</v>
      </c>
      <c r="F28" s="224"/>
    </row>
    <row r="29" spans="1:6" ht="20" customHeight="1">
      <c r="A29" s="179"/>
      <c r="B29" s="46" t="s">
        <v>583</v>
      </c>
      <c r="C29" s="89"/>
      <c r="D29" s="224"/>
      <c r="E29" s="224">
        <f>'TB update upto 10.18'!H18</f>
        <v>630000</v>
      </c>
      <c r="F29" s="224"/>
    </row>
    <row r="30" spans="1:6" ht="20" customHeight="1">
      <c r="A30" s="179"/>
      <c r="B30" s="41" t="s">
        <v>115</v>
      </c>
      <c r="C30" s="89"/>
      <c r="D30" s="224">
        <f>'TB update upto 10.18'!L6</f>
        <v>15000000</v>
      </c>
      <c r="E30" s="224"/>
      <c r="F30" s="224"/>
    </row>
    <row r="31" spans="1:6" ht="20" customHeight="1">
      <c r="A31" s="179"/>
      <c r="B31" s="41" t="s">
        <v>116</v>
      </c>
      <c r="C31" s="89"/>
      <c r="D31" s="224">
        <f>'TB update upto 10.18'!L7</f>
        <v>25000000</v>
      </c>
      <c r="E31" s="224"/>
      <c r="F31" s="224"/>
    </row>
    <row r="32" spans="1:6" ht="20" customHeight="1">
      <c r="A32" s="179"/>
      <c r="B32" s="41" t="s">
        <v>117</v>
      </c>
      <c r="C32" s="89"/>
      <c r="D32" s="224">
        <f>'TB update upto 10.18'!L8</f>
        <v>1500000</v>
      </c>
      <c r="E32" s="224"/>
      <c r="F32" s="224"/>
    </row>
    <row r="33" spans="1:11" ht="20" customHeight="1">
      <c r="A33" s="179"/>
      <c r="B33" s="41" t="s">
        <v>118</v>
      </c>
      <c r="C33" s="89"/>
      <c r="D33" s="224">
        <f>'TB update upto 10.18'!L9</f>
        <v>2500000</v>
      </c>
      <c r="E33" s="224"/>
      <c r="F33" s="224"/>
    </row>
    <row r="34" spans="1:11" ht="20" customHeight="1">
      <c r="A34" s="179"/>
      <c r="B34" s="88"/>
      <c r="C34" s="89"/>
      <c r="D34" s="224"/>
      <c r="E34" s="224"/>
      <c r="F34" s="224"/>
    </row>
    <row r="35" spans="1:11" ht="20" customHeight="1" thickBot="1">
      <c r="A35" s="179"/>
      <c r="B35" s="255" t="s">
        <v>109</v>
      </c>
      <c r="C35" s="89"/>
      <c r="D35" s="227">
        <f>SUM(D30:D34)</f>
        <v>44000000</v>
      </c>
      <c r="E35" s="227">
        <f>SUM(E21:E34)</f>
        <v>10290000</v>
      </c>
      <c r="F35" s="227">
        <f>SUM(F21:F34)</f>
        <v>12600000</v>
      </c>
    </row>
    <row r="36" spans="1:11" ht="20" customHeight="1" thickTop="1">
      <c r="A36" s="179"/>
      <c r="C36" s="89"/>
      <c r="D36" s="250" t="s">
        <v>584</v>
      </c>
      <c r="E36" s="247" t="s">
        <v>239</v>
      </c>
      <c r="F36" s="247" t="s">
        <v>239</v>
      </c>
    </row>
    <row r="37" spans="1:11" ht="20" customHeight="1" thickBot="1">
      <c r="A37" s="179"/>
      <c r="B37" s="254" t="s">
        <v>200</v>
      </c>
      <c r="C37" s="89"/>
      <c r="D37" s="120" t="s">
        <v>598</v>
      </c>
      <c r="E37" s="120" t="s">
        <v>572</v>
      </c>
      <c r="F37" s="247" t="s">
        <v>241</v>
      </c>
    </row>
    <row r="38" spans="1:11" ht="20" customHeight="1">
      <c r="A38" s="179"/>
      <c r="B38" s="41" t="s">
        <v>481</v>
      </c>
      <c r="C38" s="89"/>
      <c r="D38" s="224">
        <f>'TB update upto 10.18'!L20</f>
        <v>0</v>
      </c>
      <c r="E38" s="224">
        <f>'TB update upto 10.18'!H20</f>
        <v>20000000</v>
      </c>
      <c r="F38" s="224"/>
    </row>
    <row r="39" spans="1:11" ht="20" customHeight="1">
      <c r="A39" s="179"/>
      <c r="B39" s="47" t="s">
        <v>223</v>
      </c>
      <c r="C39" s="89"/>
      <c r="D39" s="224">
        <f>'TB update upto 10.18'!L21</f>
        <v>0</v>
      </c>
      <c r="E39" s="224">
        <f>'TB update upto 10.18'!H21</f>
        <v>2000000</v>
      </c>
      <c r="F39" s="224"/>
    </row>
    <row r="40" spans="1:11" ht="20" customHeight="1">
      <c r="A40" s="179"/>
      <c r="B40" s="47" t="s">
        <v>482</v>
      </c>
      <c r="C40" s="89"/>
      <c r="D40" s="337">
        <f>'TB update upto 10.18'!L22</f>
        <v>500000</v>
      </c>
      <c r="E40" s="224">
        <f>'TB update upto 10.18'!H22</f>
        <v>500000</v>
      </c>
      <c r="F40" s="224"/>
    </row>
    <row r="41" spans="1:11" ht="20" customHeight="1">
      <c r="A41" s="179"/>
      <c r="B41" s="88" t="s">
        <v>120</v>
      </c>
      <c r="C41" s="89"/>
      <c r="D41" s="224"/>
      <c r="E41" s="224"/>
      <c r="F41" s="224"/>
    </row>
    <row r="42" spans="1:11" ht="20" customHeight="1" thickBot="1">
      <c r="A42" s="179"/>
      <c r="B42" s="95" t="s">
        <v>109</v>
      </c>
      <c r="C42" s="96"/>
      <c r="D42" s="227">
        <f>SUM(D38:D41)</f>
        <v>500000</v>
      </c>
      <c r="E42" s="227">
        <f>SUM(E38:E41)</f>
        <v>22500000</v>
      </c>
      <c r="F42" s="227">
        <f>SUM(F38:F41)</f>
        <v>0</v>
      </c>
    </row>
    <row r="43" spans="1:11" ht="20" customHeight="1" thickTop="1">
      <c r="A43" s="179"/>
      <c r="B43" s="253"/>
      <c r="C43" s="96"/>
      <c r="D43" s="95"/>
      <c r="E43" s="95"/>
      <c r="F43" s="95"/>
    </row>
    <row r="44" spans="1:11" ht="20" customHeight="1">
      <c r="A44" s="183">
        <v>3.8</v>
      </c>
      <c r="B44" s="95" t="s">
        <v>261</v>
      </c>
      <c r="C44" s="89"/>
      <c r="D44" s="88"/>
      <c r="E44" s="88"/>
      <c r="F44" s="88"/>
    </row>
    <row r="45" spans="1:11" ht="20" customHeight="1">
      <c r="A45" s="179"/>
      <c r="B45" s="88"/>
      <c r="C45" s="88"/>
      <c r="D45" s="88"/>
      <c r="E45" s="88"/>
      <c r="F45" s="88"/>
    </row>
    <row r="46" spans="1:11" ht="20" customHeight="1">
      <c r="A46" s="179"/>
      <c r="B46" s="204"/>
      <c r="C46" s="89"/>
      <c r="D46" s="250" t="s">
        <v>584</v>
      </c>
      <c r="E46" s="250" t="str">
        <f>E8</f>
        <v xml:space="preserve">As at </v>
      </c>
      <c r="F46" s="250" t="str">
        <f>F8</f>
        <v xml:space="preserve">As at </v>
      </c>
    </row>
    <row r="47" spans="1:11" ht="20" customHeight="1" thickBot="1">
      <c r="A47" s="179"/>
      <c r="B47" s="179"/>
      <c r="C47" s="179"/>
      <c r="D47" s="120" t="s">
        <v>598</v>
      </c>
      <c r="E47" s="256" t="str">
        <f>'SOFP  10.18'!C6</f>
        <v>18 Magh 2082</v>
      </c>
      <c r="F47" s="256" t="str">
        <f>'SOFP  10.18'!D6</f>
        <v>32 Ashadh 2082</v>
      </c>
      <c r="H47" s="180" t="s">
        <v>483</v>
      </c>
      <c r="K47" s="180" t="s">
        <v>484</v>
      </c>
    </row>
    <row r="48" spans="1:11" ht="20" customHeight="1">
      <c r="A48" s="179"/>
      <c r="B48" s="179"/>
      <c r="C48" s="179"/>
      <c r="D48" s="179"/>
      <c r="E48" s="179"/>
      <c r="F48" s="179"/>
    </row>
    <row r="49" spans="1:11" ht="20" customHeight="1">
      <c r="A49" s="179"/>
      <c r="B49" s="179" t="s">
        <v>485</v>
      </c>
      <c r="C49" s="179"/>
      <c r="D49" s="234">
        <f>+E51</f>
        <v>-538061.25</v>
      </c>
      <c r="E49" s="234">
        <f>+F51</f>
        <v>-373576</v>
      </c>
      <c r="F49" s="234">
        <v>-196480</v>
      </c>
      <c r="H49" s="257">
        <f>+F49</f>
        <v>-196480</v>
      </c>
      <c r="K49" s="257">
        <f>+F49</f>
        <v>-196480</v>
      </c>
    </row>
    <row r="50" spans="1:11" ht="20" customHeight="1">
      <c r="A50" s="179"/>
      <c r="B50" s="179" t="s">
        <v>486</v>
      </c>
      <c r="C50" s="179"/>
      <c r="D50" s="234">
        <f>'SOI 03.15'!D23</f>
        <v>-33900</v>
      </c>
      <c r="E50" s="234">
        <f>'SOI 10.18'!C23</f>
        <v>-164485.25</v>
      </c>
      <c r="F50" s="234">
        <f>'SOI 10.18'!D23</f>
        <v>-177096</v>
      </c>
      <c r="H50" s="258">
        <v>-2368782.9299999997</v>
      </c>
      <c r="K50" s="258">
        <f>+'SOI 10.18'!E19</f>
        <v>-2368782.9299999997</v>
      </c>
    </row>
    <row r="51" spans="1:11" ht="20" customHeight="1" thickBot="1">
      <c r="A51" s="179"/>
      <c r="B51" s="259" t="s">
        <v>487</v>
      </c>
      <c r="C51" s="260"/>
      <c r="D51" s="261">
        <f>SUM(D49:D50)</f>
        <v>-571961.25</v>
      </c>
      <c r="E51" s="261">
        <f>SUM(E49:E50)</f>
        <v>-538061.25</v>
      </c>
      <c r="F51" s="261">
        <f>SUM(F49:F50)</f>
        <v>-373576</v>
      </c>
      <c r="H51" s="258">
        <f>SUM(H49:H50)</f>
        <v>-2565262.9299999997</v>
      </c>
      <c r="I51" s="180" t="s">
        <v>488</v>
      </c>
      <c r="K51" s="262">
        <f>+K49+K50</f>
        <v>-2565262.9299999997</v>
      </c>
    </row>
    <row r="52" spans="1:11" ht="20" customHeight="1" thickTop="1">
      <c r="A52" s="179"/>
      <c r="B52" s="179"/>
      <c r="C52" s="179"/>
      <c r="D52" s="234"/>
      <c r="E52" s="234"/>
      <c r="F52" s="179"/>
      <c r="H52" s="258" t="e">
        <f>+#REF!+#REF!</f>
        <v>#REF!</v>
      </c>
      <c r="I52" s="180" t="s">
        <v>252</v>
      </c>
    </row>
    <row r="53" spans="1:11" ht="20" customHeight="1">
      <c r="F53" s="257">
        <f>+F51-H51</f>
        <v>2191686.9299999997</v>
      </c>
      <c r="H53" s="262" t="e">
        <f>+H51+H52</f>
        <v>#REF!</v>
      </c>
    </row>
    <row r="54" spans="1:11" ht="20" customHeight="1"/>
    <row r="55" spans="1:11" ht="20" customHeight="1"/>
    <row r="56" spans="1:11" ht="20" customHeight="1"/>
    <row r="57" spans="1:11" ht="20" customHeight="1"/>
    <row r="58" spans="1:11" ht="20" customHeight="1"/>
    <row r="59" spans="1:11" ht="20" customHeight="1"/>
    <row r="60" spans="1:11" ht="20" customHeight="1"/>
    <row r="61" spans="1:11" ht="20" customHeight="1"/>
    <row r="62" spans="1:11" ht="20" customHeight="1"/>
  </sheetData>
  <pageMargins left="0.7" right="0.7" top="0.75" bottom="0.75" header="0.3" footer="0.3"/>
  <pageSetup scale="85" orientation="portrait" r:id="rId1"/>
  <rowBreaks count="1" manualBreakCount="1">
    <brk id="43" max="5"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1054-7D2E-4BCE-832E-FFE357F5E449}">
  <sheetPr>
    <tabColor rgb="FF00B050"/>
  </sheetPr>
  <dimension ref="A1:F73"/>
  <sheetViews>
    <sheetView showGridLines="0" view="pageBreakPreview" topLeftCell="A22" zoomScaleNormal="100" zoomScaleSheetLayoutView="110" workbookViewId="0">
      <selection activeCell="C36" sqref="C36"/>
    </sheetView>
  </sheetViews>
  <sheetFormatPr defaultColWidth="9.1796875" defaultRowHeight="13.5"/>
  <cols>
    <col min="1" max="1" width="4.453125" style="180" customWidth="1"/>
    <col min="2" max="2" width="46.36328125" style="180" customWidth="1"/>
    <col min="3" max="3" width="13.453125" style="180" customWidth="1"/>
    <col min="4" max="4" width="16" style="340" customWidth="1"/>
    <col min="5" max="5" width="16.453125" style="180" hidden="1" customWidth="1"/>
    <col min="6" max="6" width="16.1796875" style="180" hidden="1" customWidth="1"/>
    <col min="7" max="16384" width="9.1796875" style="180"/>
  </cols>
  <sheetData>
    <row r="1" spans="1:6" ht="17.5">
      <c r="A1" s="327" t="str">
        <f>'SOFP  10.18'!A1</f>
        <v>Magic Arun Hydropower Private Limitd</v>
      </c>
      <c r="B1" s="327"/>
      <c r="C1" s="327"/>
      <c r="D1" s="327"/>
      <c r="E1" s="327"/>
      <c r="F1" s="327"/>
    </row>
    <row r="2" spans="1:6" ht="19" customHeight="1">
      <c r="A2" s="328" t="s">
        <v>337</v>
      </c>
      <c r="B2" s="328"/>
      <c r="C2" s="328"/>
      <c r="D2" s="328"/>
      <c r="E2" s="328"/>
      <c r="F2" s="181"/>
    </row>
    <row r="3" spans="1:6" ht="19" customHeight="1">
      <c r="A3" s="213"/>
      <c r="B3" s="214"/>
      <c r="C3" s="214"/>
      <c r="D3" s="217"/>
      <c r="E3" s="215"/>
      <c r="F3" s="215"/>
    </row>
    <row r="4" spans="1:6" ht="19" customHeight="1" thickBot="1">
      <c r="A4" s="218"/>
      <c r="B4" s="219"/>
      <c r="C4" s="219"/>
      <c r="D4" s="348" t="s">
        <v>276</v>
      </c>
    </row>
    <row r="5" spans="1:6" ht="19" customHeight="1">
      <c r="A5" s="220"/>
      <c r="B5" s="204"/>
      <c r="C5" s="204"/>
      <c r="D5" s="349"/>
      <c r="E5" s="204"/>
      <c r="F5" s="221"/>
    </row>
    <row r="6" spans="1:6" ht="19" customHeight="1">
      <c r="A6" s="173">
        <v>3.4</v>
      </c>
      <c r="B6" s="95" t="s">
        <v>169</v>
      </c>
      <c r="C6" s="222" t="s">
        <v>584</v>
      </c>
      <c r="D6" s="222" t="str">
        <f>'[5]3.3'!C29</f>
        <v xml:space="preserve">As at </v>
      </c>
      <c r="E6" s="222" t="str">
        <f>'[5]3.3'!D29</f>
        <v xml:space="preserve">As at </v>
      </c>
      <c r="F6" s="222" t="str">
        <f>'[5]3.3'!E29</f>
        <v xml:space="preserve">As at </v>
      </c>
    </row>
    <row r="7" spans="1:6" ht="19" customHeight="1" thickBot="1">
      <c r="A7" s="95"/>
      <c r="B7" s="95"/>
      <c r="C7" s="120" t="s">
        <v>598</v>
      </c>
      <c r="D7" s="343" t="s">
        <v>572</v>
      </c>
      <c r="E7" s="120" t="str">
        <f>'[5]3.3'!D30</f>
        <v>32 Ashadh 2082</v>
      </c>
      <c r="F7" s="120" t="str">
        <f>'[5]3.3'!E30</f>
        <v>1 Shrawan 2081</v>
      </c>
    </row>
    <row r="8" spans="1:6" ht="19" customHeight="1">
      <c r="A8" s="95"/>
      <c r="B8" s="95"/>
      <c r="C8" s="95"/>
      <c r="D8" s="350"/>
      <c r="E8" s="223"/>
      <c r="F8" s="223"/>
    </row>
    <row r="9" spans="1:6" ht="19" customHeight="1">
      <c r="A9" s="95"/>
      <c r="B9" s="196" t="s">
        <v>169</v>
      </c>
      <c r="C9" s="196"/>
      <c r="D9" s="350"/>
      <c r="E9" s="223"/>
      <c r="F9" s="223"/>
    </row>
    <row r="10" spans="1:6" ht="19" customHeight="1">
      <c r="A10" s="88"/>
      <c r="B10" s="88" t="s">
        <v>425</v>
      </c>
      <c r="C10" s="88"/>
      <c r="D10" s="98">
        <v>0</v>
      </c>
      <c r="E10" s="224">
        <v>0</v>
      </c>
      <c r="F10" s="224">
        <v>1000000</v>
      </c>
    </row>
    <row r="11" spans="1:6" ht="19" customHeight="1">
      <c r="A11" s="88"/>
      <c r="B11" s="225" t="s">
        <v>426</v>
      </c>
      <c r="C11" s="225"/>
      <c r="D11" s="98">
        <v>0</v>
      </c>
      <c r="E11" s="224">
        <v>0</v>
      </c>
      <c r="F11" s="224">
        <v>20300000</v>
      </c>
    </row>
    <row r="12" spans="1:6" ht="19" customHeight="1">
      <c r="A12" s="88"/>
      <c r="B12" s="88" t="s">
        <v>427</v>
      </c>
      <c r="C12" s="88"/>
      <c r="D12" s="98">
        <v>0</v>
      </c>
      <c r="E12" s="224">
        <v>0</v>
      </c>
      <c r="F12" s="224">
        <v>488699</v>
      </c>
    </row>
    <row r="13" spans="1:6" ht="19" customHeight="1">
      <c r="A13" s="88"/>
      <c r="B13" s="196" t="s">
        <v>249</v>
      </c>
      <c r="C13" s="196"/>
      <c r="D13" s="98"/>
      <c r="E13" s="224"/>
      <c r="F13" s="224"/>
    </row>
    <row r="14" spans="1:6" ht="19" customHeight="1">
      <c r="A14" s="95"/>
      <c r="B14" s="226" t="s">
        <v>428</v>
      </c>
      <c r="C14" s="310">
        <f>'TB update upto 10.18'!K78</f>
        <v>5000000</v>
      </c>
      <c r="D14" s="317">
        <f>'TB update upto 10.18'!G78</f>
        <v>5000000</v>
      </c>
      <c r="E14" s="224">
        <v>4000000</v>
      </c>
      <c r="F14" s="224"/>
    </row>
    <row r="15" spans="1:6" ht="19" customHeight="1">
      <c r="A15" s="95"/>
      <c r="B15" s="226" t="s">
        <v>429</v>
      </c>
      <c r="C15" s="224">
        <v>0</v>
      </c>
      <c r="D15" s="98">
        <v>0</v>
      </c>
      <c r="E15" s="224">
        <v>3000000</v>
      </c>
      <c r="F15" s="224"/>
    </row>
    <row r="16" spans="1:6" ht="19" customHeight="1">
      <c r="A16" s="95"/>
      <c r="B16" s="226" t="s">
        <v>430</v>
      </c>
      <c r="C16" s="307">
        <f>'TB update upto 10.18'!K94</f>
        <v>254500</v>
      </c>
      <c r="D16" s="98">
        <f>'TB update upto 10.18'!G94</f>
        <v>250000</v>
      </c>
      <c r="E16" s="224">
        <v>250000</v>
      </c>
      <c r="F16" s="224"/>
    </row>
    <row r="17" spans="1:6" ht="19" customHeight="1">
      <c r="A17" s="95"/>
      <c r="B17" s="226" t="s">
        <v>431</v>
      </c>
      <c r="C17" s="335">
        <f>'TB update upto 10.18'!K80+'TB update upto 10.18'!K10</f>
        <v>4136712</v>
      </c>
      <c r="D17" s="98">
        <f>'TB update upto 10.18'!G80</f>
        <v>5563462</v>
      </c>
      <c r="E17" s="224">
        <v>5563462</v>
      </c>
      <c r="F17" s="224"/>
    </row>
    <row r="18" spans="1:6" ht="19" customHeight="1">
      <c r="A18" s="95"/>
      <c r="B18" s="226" t="s">
        <v>432</v>
      </c>
      <c r="C18" s="307">
        <f>'TB update upto 10.18'!K93</f>
        <v>3900000</v>
      </c>
      <c r="D18" s="98">
        <f>'TB update upto 10.18'!G93</f>
        <v>2900000</v>
      </c>
      <c r="E18" s="224">
        <v>2200000</v>
      </c>
      <c r="F18" s="98">
        <v>0</v>
      </c>
    </row>
    <row r="19" spans="1:6" ht="19" customHeight="1">
      <c r="A19" s="95"/>
      <c r="B19" s="226" t="s">
        <v>433</v>
      </c>
      <c r="C19" s="307">
        <f>'TB update upto 10.18'!K84</f>
        <v>0</v>
      </c>
      <c r="D19" s="98">
        <f>'TB update upto 10.18'!G84</f>
        <v>260000</v>
      </c>
      <c r="E19" s="224"/>
      <c r="F19" s="98"/>
    </row>
    <row r="20" spans="1:6" ht="19" customHeight="1">
      <c r="A20" s="95"/>
      <c r="B20" s="226" t="s">
        <v>575</v>
      </c>
      <c r="C20" s="307">
        <f>'TB update upto 10.18'!K96</f>
        <v>0</v>
      </c>
      <c r="D20" s="98">
        <f>'TB update upto 10.18'!G96</f>
        <v>75000</v>
      </c>
      <c r="E20" s="224"/>
      <c r="F20" s="98"/>
    </row>
    <row r="21" spans="1:6" ht="19" customHeight="1">
      <c r="A21" s="95"/>
      <c r="B21" s="226" t="s">
        <v>249</v>
      </c>
      <c r="C21" s="307">
        <f>'TB update upto 10.18'!K95+'TB update upto 10.18'!K45</f>
        <v>2210</v>
      </c>
      <c r="D21" s="98">
        <f>'TB update upto 10.18'!G95+'TB update upto 10.18'!G45</f>
        <v>133525</v>
      </c>
      <c r="E21" s="224"/>
      <c r="F21" s="98"/>
    </row>
    <row r="22" spans="1:6" ht="19" customHeight="1">
      <c r="A22" s="95"/>
      <c r="B22" s="226" t="s">
        <v>576</v>
      </c>
      <c r="C22" s="307">
        <f>'TB update upto 10.18'!K92</f>
        <v>529624.5</v>
      </c>
      <c r="D22" s="98">
        <f>'TB update upto 10.18'!G92</f>
        <v>529624.5</v>
      </c>
      <c r="E22" s="224"/>
      <c r="F22" s="98"/>
    </row>
    <row r="23" spans="1:6" ht="19" customHeight="1">
      <c r="A23" s="95"/>
      <c r="B23" s="226" t="s">
        <v>577</v>
      </c>
      <c r="C23" s="307">
        <f>'TB update upto 10.18'!K50</f>
        <v>0</v>
      </c>
      <c r="D23" s="98">
        <f>'TB update upto 10.18'!G50</f>
        <v>5000000</v>
      </c>
      <c r="E23" s="224"/>
      <c r="F23" s="98"/>
    </row>
    <row r="24" spans="1:6" ht="19" customHeight="1">
      <c r="A24" s="95"/>
      <c r="B24" s="226" t="s">
        <v>578</v>
      </c>
      <c r="C24" s="307">
        <f>'TB update upto 10.18'!K79</f>
        <v>147650</v>
      </c>
      <c r="D24" s="98">
        <f>'TB update upto 10.18'!G79</f>
        <v>500000</v>
      </c>
      <c r="E24" s="224"/>
      <c r="F24" s="98"/>
    </row>
    <row r="25" spans="1:6" ht="19" customHeight="1">
      <c r="A25" s="95"/>
      <c r="B25" s="226" t="s">
        <v>579</v>
      </c>
      <c r="C25" s="307">
        <f>'TB update upto 10.18'!K90</f>
        <v>0</v>
      </c>
      <c r="D25" s="98">
        <f>'TB update upto 10.18'!G90</f>
        <v>500000</v>
      </c>
      <c r="E25" s="224"/>
      <c r="F25" s="98"/>
    </row>
    <row r="26" spans="1:6" s="333" customFormat="1" ht="19" customHeight="1">
      <c r="A26" s="332"/>
      <c r="B26" s="226" t="s">
        <v>142</v>
      </c>
      <c r="C26" s="335">
        <f>'TB update upto 10.18'!K43</f>
        <v>500000</v>
      </c>
      <c r="D26" s="98"/>
      <c r="E26" s="224"/>
      <c r="F26" s="98"/>
    </row>
    <row r="27" spans="1:6" s="333" customFormat="1" ht="19" customHeight="1">
      <c r="A27" s="332"/>
      <c r="B27" s="226" t="s">
        <v>600</v>
      </c>
      <c r="C27" s="335">
        <f>'TB update upto 10.18'!K81</f>
        <v>1800000</v>
      </c>
      <c r="D27" s="351">
        <f>'TB update upto 10.18'!G81</f>
        <v>0</v>
      </c>
      <c r="E27" s="224"/>
      <c r="F27" s="98"/>
    </row>
    <row r="28" spans="1:6" s="333" customFormat="1" ht="19" customHeight="1">
      <c r="A28" s="332"/>
      <c r="B28" s="226" t="s">
        <v>601</v>
      </c>
      <c r="C28" s="335">
        <f>'TB update upto 10.18'!K82</f>
        <v>2000000</v>
      </c>
      <c r="D28" s="352">
        <v>0</v>
      </c>
      <c r="E28" s="224"/>
      <c r="F28" s="98"/>
    </row>
    <row r="29" spans="1:6" s="333" customFormat="1" ht="19" customHeight="1">
      <c r="A29" s="332"/>
      <c r="B29" s="226" t="s">
        <v>225</v>
      </c>
      <c r="C29" s="335">
        <f>'TB update upto 10.18'!K83</f>
        <v>6500000</v>
      </c>
      <c r="D29" s="351">
        <f>'TB update upto 10.18'!G83</f>
        <v>0</v>
      </c>
      <c r="E29" s="224"/>
      <c r="F29" s="98"/>
    </row>
    <row r="30" spans="1:6" s="333" customFormat="1" ht="19" customHeight="1">
      <c r="A30" s="332"/>
      <c r="B30" s="226"/>
      <c r="C30" s="307"/>
      <c r="D30" s="353"/>
      <c r="E30" s="224"/>
      <c r="F30" s="98"/>
    </row>
    <row r="31" spans="1:6" ht="19" customHeight="1">
      <c r="A31" s="95"/>
      <c r="B31" s="196" t="s">
        <v>434</v>
      </c>
      <c r="C31" s="224"/>
      <c r="E31" s="224"/>
      <c r="F31" s="98"/>
    </row>
    <row r="32" spans="1:6" ht="19" customHeight="1">
      <c r="A32" s="95"/>
      <c r="B32" s="88" t="s">
        <v>181</v>
      </c>
      <c r="C32" s="311">
        <f>'TB update upto 10.18'!K100</f>
        <v>298500</v>
      </c>
      <c r="D32" s="352">
        <f>'TB update upto 10.18'!G100</f>
        <v>298500</v>
      </c>
      <c r="E32" s="199">
        <v>298500</v>
      </c>
      <c r="F32" s="199">
        <v>0</v>
      </c>
    </row>
    <row r="33" spans="1:6" ht="19" customHeight="1" thickBot="1">
      <c r="A33" s="95"/>
      <c r="B33" s="95"/>
      <c r="C33" s="227">
        <f>+C12+SUM(C14:C32)</f>
        <v>25069196.5</v>
      </c>
      <c r="D33" s="195">
        <f>+D12+SUM(D14:D32)</f>
        <v>21010111.5</v>
      </c>
      <c r="E33" s="227">
        <f>SUM(E10:E32)</f>
        <v>15311962</v>
      </c>
      <c r="F33" s="227">
        <f>SUM(F10:F18)</f>
        <v>21788699</v>
      </c>
    </row>
    <row r="34" spans="1:6" ht="19" customHeight="1" thickTop="1">
      <c r="A34" s="95"/>
      <c r="B34" s="95"/>
      <c r="C34" s="95"/>
      <c r="D34" s="344"/>
      <c r="E34" s="96"/>
      <c r="F34" s="96"/>
    </row>
    <row r="35" spans="1:6" ht="19" customHeight="1" thickBot="1">
      <c r="A35" s="95"/>
      <c r="B35" s="95" t="s">
        <v>435</v>
      </c>
      <c r="C35" s="249">
        <v>0</v>
      </c>
      <c r="D35" s="161">
        <v>0</v>
      </c>
      <c r="E35" s="162">
        <v>0</v>
      </c>
      <c r="F35" s="162">
        <v>0</v>
      </c>
    </row>
    <row r="36" spans="1:6" ht="19" customHeight="1" thickBot="1">
      <c r="A36" s="95"/>
      <c r="B36" s="95" t="s">
        <v>436</v>
      </c>
      <c r="C36" s="228">
        <f>C33</f>
        <v>25069196.5</v>
      </c>
      <c r="D36" s="354">
        <f>D33</f>
        <v>21010111.5</v>
      </c>
      <c r="E36" s="228">
        <f>E33</f>
        <v>15311962</v>
      </c>
      <c r="F36" s="228">
        <f>F33</f>
        <v>21788699</v>
      </c>
    </row>
    <row r="37" spans="1:6" ht="19" customHeight="1">
      <c r="A37" s="95"/>
      <c r="B37" s="95"/>
      <c r="C37" s="95"/>
      <c r="D37" s="355"/>
      <c r="E37" s="114"/>
      <c r="F37" s="114"/>
    </row>
    <row r="38" spans="1:6" ht="19" hidden="1" customHeight="1">
      <c r="A38" s="88"/>
      <c r="B38" s="95" t="s">
        <v>437</v>
      </c>
      <c r="C38" s="95"/>
      <c r="D38" s="341"/>
      <c r="E38" s="229" t="s">
        <v>438</v>
      </c>
      <c r="F38" s="229" t="s">
        <v>438</v>
      </c>
    </row>
    <row r="39" spans="1:6" ht="19" hidden="1" customHeight="1" thickBot="1">
      <c r="A39" s="95"/>
      <c r="B39" s="95"/>
      <c r="C39" s="95"/>
      <c r="D39" s="344"/>
      <c r="E39" s="230" t="s">
        <v>424</v>
      </c>
      <c r="F39" s="230" t="s">
        <v>439</v>
      </c>
    </row>
    <row r="40" spans="1:6" ht="19" hidden="1" customHeight="1">
      <c r="A40" s="88"/>
      <c r="B40" s="95" t="s">
        <v>440</v>
      </c>
      <c r="C40" s="95"/>
      <c r="D40" s="341"/>
      <c r="E40" s="231">
        <v>0</v>
      </c>
      <c r="F40" s="231">
        <v>0</v>
      </c>
    </row>
    <row r="41" spans="1:6" ht="19" hidden="1" customHeight="1">
      <c r="A41" s="88"/>
      <c r="B41" s="88" t="s">
        <v>441</v>
      </c>
      <c r="C41" s="88"/>
      <c r="D41" s="341"/>
      <c r="E41" s="231">
        <v>0</v>
      </c>
      <c r="F41" s="231">
        <v>0</v>
      </c>
    </row>
    <row r="42" spans="1:6" ht="19" hidden="1" customHeight="1">
      <c r="A42" s="88"/>
      <c r="B42" s="88" t="s">
        <v>442</v>
      </c>
      <c r="C42" s="88"/>
      <c r="D42" s="341"/>
      <c r="E42" s="231">
        <v>0</v>
      </c>
      <c r="F42" s="231">
        <v>0</v>
      </c>
    </row>
    <row r="43" spans="1:6" ht="19" hidden="1" customHeight="1">
      <c r="A43" s="88"/>
      <c r="B43" s="88" t="s">
        <v>443</v>
      </c>
      <c r="C43" s="88"/>
      <c r="D43" s="341"/>
      <c r="E43" s="232">
        <v>0</v>
      </c>
      <c r="F43" s="232">
        <v>0</v>
      </c>
    </row>
    <row r="44" spans="1:6" ht="19" hidden="1" customHeight="1">
      <c r="A44" s="88"/>
      <c r="B44" s="88"/>
      <c r="C44" s="88"/>
      <c r="D44" s="341"/>
      <c r="E44" s="89"/>
      <c r="F44" s="89"/>
    </row>
    <row r="45" spans="1:6" ht="19" hidden="1" customHeight="1" thickBot="1">
      <c r="A45" s="95"/>
      <c r="B45" s="95" t="s">
        <v>444</v>
      </c>
      <c r="C45" s="95"/>
      <c r="D45" s="344"/>
      <c r="E45" s="233">
        <f>SUM(E40:E43)</f>
        <v>0</v>
      </c>
      <c r="F45" s="233">
        <f>SUM(F40:F43)</f>
        <v>0</v>
      </c>
    </row>
    <row r="46" spans="1:6" ht="19" hidden="1" customHeight="1" thickTop="1">
      <c r="A46" s="95"/>
      <c r="B46" s="95"/>
      <c r="C46" s="95"/>
      <c r="D46" s="344"/>
      <c r="E46" s="96"/>
      <c r="F46" s="96"/>
    </row>
    <row r="47" spans="1:6" ht="19" customHeight="1">
      <c r="A47" s="173">
        <v>3.5</v>
      </c>
      <c r="B47" s="95" t="s">
        <v>253</v>
      </c>
      <c r="C47" s="95"/>
      <c r="D47" s="344"/>
      <c r="E47" s="96"/>
      <c r="F47" s="96"/>
    </row>
    <row r="48" spans="1:6" ht="19" customHeight="1">
      <c r="A48" s="95"/>
      <c r="B48" s="95"/>
      <c r="C48" s="222" t="str">
        <f>C6</f>
        <v>As at</v>
      </c>
      <c r="D48" s="222" t="str">
        <f>D6</f>
        <v xml:space="preserve">As at </v>
      </c>
      <c r="E48" s="222" t="str">
        <f>E6</f>
        <v xml:space="preserve">As at </v>
      </c>
      <c r="F48" s="222" t="str">
        <f>F6</f>
        <v xml:space="preserve">As at </v>
      </c>
    </row>
    <row r="49" spans="1:6" ht="19" customHeight="1" thickBot="1">
      <c r="A49" s="179"/>
      <c r="B49" s="179"/>
      <c r="C49" s="120" t="str">
        <f>C7</f>
        <v>15 Asadh 2083</v>
      </c>
      <c r="D49" s="343" t="str">
        <f>D7</f>
        <v>10 Magh 2082</v>
      </c>
      <c r="E49" s="120" t="str">
        <f>E7</f>
        <v>32 Ashadh 2082</v>
      </c>
      <c r="F49" s="120" t="str">
        <f>F7</f>
        <v>1 Shrawan 2081</v>
      </c>
    </row>
    <row r="50" spans="1:6" ht="19" customHeight="1">
      <c r="A50" s="95"/>
      <c r="B50" s="95"/>
      <c r="C50" s="95"/>
      <c r="D50" s="344"/>
      <c r="E50" s="96"/>
      <c r="F50" s="96"/>
    </row>
    <row r="51" spans="1:6" ht="19" customHeight="1">
      <c r="A51" s="88"/>
      <c r="B51" s="88" t="s">
        <v>445</v>
      </c>
      <c r="C51" s="171">
        <f>'3.12 to 3.18 ao 10.18'!C28</f>
        <v>0</v>
      </c>
      <c r="D51" s="101">
        <f>'3.12 to 3.18 ao 10.18'!D28</f>
        <v>0</v>
      </c>
      <c r="E51" s="171">
        <v>0</v>
      </c>
      <c r="F51" s="171">
        <v>0</v>
      </c>
    </row>
    <row r="52" spans="1:6" ht="19" customHeight="1">
      <c r="A52" s="88"/>
      <c r="B52" s="88"/>
      <c r="C52" s="88"/>
      <c r="D52" s="98"/>
      <c r="E52" s="224"/>
      <c r="F52" s="224"/>
    </row>
    <row r="53" spans="1:6" ht="19" customHeight="1" thickBot="1">
      <c r="A53" s="95"/>
      <c r="B53" s="95"/>
      <c r="C53" s="95"/>
      <c r="D53" s="195">
        <f t="shared" ref="D53:E53" si="0">D51</f>
        <v>0</v>
      </c>
      <c r="E53" s="227">
        <f t="shared" si="0"/>
        <v>0</v>
      </c>
      <c r="F53" s="195">
        <f>F51</f>
        <v>0</v>
      </c>
    </row>
    <row r="54" spans="1:6" ht="19" customHeight="1" thickTop="1">
      <c r="A54" s="173">
        <v>3.6</v>
      </c>
      <c r="B54" s="95" t="s">
        <v>446</v>
      </c>
      <c r="C54" s="95"/>
      <c r="D54" s="222"/>
      <c r="E54" s="89"/>
      <c r="F54" s="89"/>
    </row>
    <row r="55" spans="1:6" ht="19" customHeight="1">
      <c r="A55" s="173"/>
      <c r="B55" s="95"/>
      <c r="C55" s="222" t="str">
        <f t="shared" ref="C55" si="1">C48</f>
        <v>As at</v>
      </c>
      <c r="D55" s="222" t="str">
        <f t="shared" ref="D55:F56" si="2">D48</f>
        <v xml:space="preserve">As at </v>
      </c>
      <c r="E55" s="222" t="str">
        <f t="shared" si="2"/>
        <v xml:space="preserve">As at </v>
      </c>
      <c r="F55" s="222" t="str">
        <f t="shared" si="2"/>
        <v xml:space="preserve">As at </v>
      </c>
    </row>
    <row r="56" spans="1:6" ht="19" customHeight="1" thickBot="1">
      <c r="A56" s="173"/>
      <c r="B56" s="95"/>
      <c r="C56" s="120" t="str">
        <f t="shared" ref="C56" si="3">C49</f>
        <v>15 Asadh 2083</v>
      </c>
      <c r="D56" s="343" t="str">
        <f t="shared" si="2"/>
        <v>10 Magh 2082</v>
      </c>
      <c r="E56" s="120" t="str">
        <f t="shared" si="2"/>
        <v>32 Ashadh 2082</v>
      </c>
      <c r="F56" s="120" t="str">
        <f t="shared" si="2"/>
        <v>1 Shrawan 2081</v>
      </c>
    </row>
    <row r="57" spans="1:6" ht="19" customHeight="1">
      <c r="A57" s="88"/>
      <c r="B57" s="95"/>
      <c r="C57" s="95"/>
      <c r="D57" s="222"/>
      <c r="E57" s="96"/>
      <c r="F57" s="96"/>
    </row>
    <row r="58" spans="1:6" ht="19" customHeight="1">
      <c r="A58" s="88"/>
      <c r="B58" s="88" t="s">
        <v>447</v>
      </c>
      <c r="C58" s="88"/>
      <c r="D58" s="98">
        <v>0</v>
      </c>
      <c r="E58" s="224">
        <v>0</v>
      </c>
      <c r="F58" s="224">
        <v>0</v>
      </c>
    </row>
    <row r="59" spans="1:6" ht="19" customHeight="1">
      <c r="A59" s="88"/>
      <c r="B59" s="88" t="s">
        <v>448</v>
      </c>
      <c r="C59" s="307">
        <f>'TB update upto 10.18'!K103</f>
        <v>804</v>
      </c>
      <c r="D59" s="98">
        <f>'TB update upto 10.18'!G103</f>
        <v>804</v>
      </c>
      <c r="E59" s="224">
        <v>40804</v>
      </c>
      <c r="F59" s="224">
        <v>67329</v>
      </c>
    </row>
    <row r="60" spans="1:6" ht="19" customHeight="1">
      <c r="A60" s="88"/>
      <c r="B60" s="88" t="s">
        <v>449</v>
      </c>
      <c r="C60" s="312">
        <f>'TB update upto 10.18'!K102</f>
        <v>1614213.35</v>
      </c>
      <c r="D60" s="101">
        <f>'TB update upto 10.18'!G102</f>
        <v>11833.349999999977</v>
      </c>
      <c r="E60" s="171">
        <v>850393</v>
      </c>
      <c r="F60" s="171">
        <v>0</v>
      </c>
    </row>
    <row r="61" spans="1:6" ht="19" customHeight="1">
      <c r="A61" s="179"/>
      <c r="B61" s="179"/>
      <c r="C61" s="179"/>
      <c r="D61" s="356"/>
      <c r="E61" s="234"/>
      <c r="F61" s="179"/>
    </row>
    <row r="62" spans="1:6" ht="19" customHeight="1" thickBot="1">
      <c r="A62" s="179"/>
      <c r="B62" s="179"/>
      <c r="C62" s="202">
        <f>SUM(C58:C60)</f>
        <v>1615017.35</v>
      </c>
      <c r="D62" s="345">
        <f>SUM(D58:D60)</f>
        <v>12637.349999999977</v>
      </c>
      <c r="E62" s="202">
        <f>SUM(E58:E60)</f>
        <v>891197</v>
      </c>
      <c r="F62" s="202">
        <f>SUM(F58:F60)</f>
        <v>67329</v>
      </c>
    </row>
    <row r="63" spans="1:6" ht="19" customHeight="1" thickTop="1">
      <c r="A63" s="179"/>
      <c r="B63" s="179"/>
      <c r="C63" s="179"/>
      <c r="D63" s="222"/>
      <c r="E63" s="179"/>
      <c r="F63" s="179"/>
    </row>
    <row r="64" spans="1:6" ht="19" customHeight="1">
      <c r="A64" s="173">
        <v>3.7</v>
      </c>
      <c r="B64" s="95" t="s">
        <v>255</v>
      </c>
      <c r="C64" s="95"/>
      <c r="D64" s="222"/>
      <c r="E64" s="96"/>
      <c r="F64" s="96"/>
    </row>
    <row r="65" spans="1:6" ht="19" customHeight="1">
      <c r="A65" s="95"/>
      <c r="B65" s="95"/>
      <c r="C65" s="222" t="str">
        <f t="shared" ref="C65" si="4">C55</f>
        <v>As at</v>
      </c>
      <c r="D65" s="222" t="str">
        <f t="shared" ref="D65:F66" si="5">D55</f>
        <v xml:space="preserve">As at </v>
      </c>
      <c r="E65" s="222" t="str">
        <f t="shared" si="5"/>
        <v xml:space="preserve">As at </v>
      </c>
      <c r="F65" s="222" t="str">
        <f t="shared" si="5"/>
        <v xml:space="preserve">As at </v>
      </c>
    </row>
    <row r="66" spans="1:6" ht="19" customHeight="1">
      <c r="A66" s="179"/>
      <c r="B66" s="179"/>
      <c r="C66" s="235" t="str">
        <f t="shared" ref="C66" si="6">C56</f>
        <v>15 Asadh 2083</v>
      </c>
      <c r="D66" s="235" t="str">
        <f t="shared" si="5"/>
        <v>10 Magh 2082</v>
      </c>
      <c r="E66" s="235" t="str">
        <f t="shared" si="5"/>
        <v>32 Ashadh 2082</v>
      </c>
      <c r="F66" s="235" t="str">
        <f t="shared" si="5"/>
        <v>1 Shrawan 2081</v>
      </c>
    </row>
    <row r="67" spans="1:6" ht="19" customHeight="1">
      <c r="A67" s="95"/>
      <c r="B67" s="95"/>
      <c r="C67" s="95"/>
      <c r="D67" s="222"/>
      <c r="E67" s="96"/>
      <c r="F67" s="96"/>
    </row>
    <row r="68" spans="1:6" ht="19" customHeight="1">
      <c r="A68" s="95"/>
      <c r="B68" s="226" t="s">
        <v>450</v>
      </c>
      <c r="C68" s="226"/>
      <c r="D68" s="98"/>
      <c r="E68" s="224">
        <v>0</v>
      </c>
      <c r="F68" s="224"/>
    </row>
    <row r="69" spans="1:6" ht="19" customHeight="1">
      <c r="A69" s="95"/>
      <c r="B69" s="226" t="s">
        <v>451</v>
      </c>
      <c r="C69" s="226"/>
      <c r="D69" s="98"/>
      <c r="E69" s="224">
        <v>0</v>
      </c>
      <c r="F69" s="224"/>
    </row>
    <row r="70" spans="1:6" ht="19" customHeight="1">
      <c r="A70" s="95"/>
      <c r="B70" s="226" t="s">
        <v>452</v>
      </c>
      <c r="C70" s="226"/>
      <c r="D70" s="98">
        <v>0</v>
      </c>
      <c r="E70" s="224">
        <v>0</v>
      </c>
      <c r="F70" s="224">
        <v>0</v>
      </c>
    </row>
    <row r="71" spans="1:6" ht="19" customHeight="1">
      <c r="A71" s="88"/>
      <c r="B71" s="88"/>
      <c r="C71" s="200"/>
      <c r="D71" s="357"/>
      <c r="E71" s="200"/>
      <c r="F71" s="171"/>
    </row>
    <row r="72" spans="1:6" ht="19" customHeight="1" thickBot="1">
      <c r="A72" s="95"/>
      <c r="B72" s="95"/>
      <c r="C72" s="202">
        <f>+SUM(C68:C71)</f>
        <v>0</v>
      </c>
      <c r="D72" s="345">
        <f>+SUM(D68:D71)</f>
        <v>0</v>
      </c>
      <c r="E72" s="202">
        <f t="shared" ref="E72:F72" si="7">+SUM(E68:E71)</f>
        <v>0</v>
      </c>
      <c r="F72" s="236">
        <f t="shared" si="7"/>
        <v>0</v>
      </c>
    </row>
    <row r="73" spans="1:6" ht="19" customHeight="1" thickTop="1"/>
  </sheetData>
  <mergeCells count="2">
    <mergeCell ref="A1:F1"/>
    <mergeCell ref="A2:E2"/>
  </mergeCells>
  <pageMargins left="0.7" right="0.7" top="0.75" bottom="0.75" header="0.3" footer="0.3"/>
  <pageSetup scale="105" orientation="portrait" r:id="rId1"/>
  <rowBreaks count="1" manualBreakCount="1">
    <brk id="53" max="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4BABE-AD64-42F1-B636-BB3D4A2D8855}">
  <sheetPr>
    <tabColor rgb="FF00B050"/>
  </sheetPr>
  <dimension ref="A1:I87"/>
  <sheetViews>
    <sheetView showGridLines="0" view="pageBreakPreview" topLeftCell="A48" zoomScaleNormal="100" zoomScaleSheetLayoutView="100" workbookViewId="0">
      <selection activeCell="D68" sqref="D68"/>
    </sheetView>
  </sheetViews>
  <sheetFormatPr defaultColWidth="9.1796875" defaultRowHeight="13.5"/>
  <cols>
    <col min="1" max="1" width="7.6328125" style="180" customWidth="1"/>
    <col min="2" max="2" width="44.453125" style="180" bestFit="1" customWidth="1"/>
    <col min="3" max="3" width="6.453125" style="180" customWidth="1"/>
    <col min="4" max="4" width="22.90625" style="180" customWidth="1"/>
    <col min="5" max="5" width="22.6328125" style="180" customWidth="1"/>
    <col min="6" max="6" width="18.36328125" style="180" hidden="1" customWidth="1"/>
    <col min="7" max="7" width="9.1796875" style="180"/>
    <col min="8" max="8" width="11.1796875" style="180" bestFit="1" customWidth="1"/>
    <col min="9" max="9" width="14.1796875" style="180" bestFit="1" customWidth="1"/>
    <col min="10" max="16384" width="9.1796875" style="180"/>
  </cols>
  <sheetData>
    <row r="1" spans="1:9" ht="17.5">
      <c r="A1" s="327" t="str">
        <f>'[5]3.3'!A1:E1</f>
        <v>CELER MART PVT. LTD.</v>
      </c>
      <c r="B1" s="327"/>
      <c r="C1" s="327"/>
      <c r="D1" s="327"/>
      <c r="E1" s="327"/>
      <c r="F1" s="327"/>
    </row>
    <row r="2" spans="1:9" ht="17.5">
      <c r="C2" s="213"/>
      <c r="D2" s="213"/>
      <c r="E2" s="213"/>
      <c r="F2" s="214"/>
    </row>
    <row r="3" spans="1:9" ht="20" customHeight="1">
      <c r="A3" s="328" t="s">
        <v>337</v>
      </c>
      <c r="B3" s="328"/>
      <c r="C3" s="328"/>
      <c r="D3" s="328"/>
      <c r="E3" s="328"/>
      <c r="F3" s="328"/>
    </row>
    <row r="4" spans="1:9" ht="20" customHeight="1">
      <c r="C4" s="213"/>
      <c r="D4" s="213"/>
      <c r="E4" s="213"/>
      <c r="F4" s="214"/>
    </row>
    <row r="5" spans="1:9" ht="20" customHeight="1" thickBot="1">
      <c r="A5" s="218"/>
      <c r="B5" s="218"/>
      <c r="C5" s="218"/>
      <c r="D5" s="218"/>
      <c r="E5" s="182" t="s">
        <v>276</v>
      </c>
    </row>
    <row r="6" spans="1:9" ht="20" customHeight="1"/>
    <row r="7" spans="1:9" ht="20" customHeight="1">
      <c r="A7" s="183">
        <v>3.12</v>
      </c>
      <c r="B7" s="95" t="s">
        <v>489</v>
      </c>
      <c r="C7" s="89"/>
      <c r="D7" s="89"/>
      <c r="E7" s="89"/>
      <c r="F7" s="89"/>
    </row>
    <row r="8" spans="1:9" ht="20" customHeight="1">
      <c r="A8" s="179"/>
      <c r="B8" s="95"/>
      <c r="C8" s="96"/>
      <c r="D8" s="263" t="s">
        <v>591</v>
      </c>
      <c r="E8" s="263" t="str">
        <f>'SOI 10.18'!C7</f>
        <v>Upto 18 Magh 2082</v>
      </c>
      <c r="F8" s="263" t="str">
        <f>'SOI 10.18'!D7</f>
        <v>FY 2081-82</v>
      </c>
    </row>
    <row r="9" spans="1:9" ht="20" customHeight="1">
      <c r="A9" s="179"/>
      <c r="B9" s="88" t="s">
        <v>490</v>
      </c>
      <c r="C9" s="89"/>
      <c r="D9" s="89"/>
      <c r="E9" s="224">
        <v>0</v>
      </c>
      <c r="F9" s="264">
        <v>0</v>
      </c>
      <c r="H9" s="258">
        <v>79597.179999999993</v>
      </c>
      <c r="I9" s="258">
        <v>1182752.57</v>
      </c>
    </row>
    <row r="10" spans="1:9" ht="20" customHeight="1">
      <c r="A10" s="179"/>
      <c r="B10" s="88" t="s">
        <v>491</v>
      </c>
      <c r="C10" s="89"/>
      <c r="D10" s="264"/>
      <c r="E10" s="264"/>
      <c r="F10" s="265"/>
    </row>
    <row r="11" spans="1:9" ht="20" customHeight="1">
      <c r="A11" s="179"/>
      <c r="B11" s="95"/>
      <c r="C11" s="96"/>
      <c r="D11" s="266"/>
      <c r="E11" s="266"/>
      <c r="F11" s="266"/>
    </row>
    <row r="12" spans="1:9" ht="20" customHeight="1" thickBot="1">
      <c r="A12" s="179"/>
      <c r="B12" s="88"/>
      <c r="C12" s="89"/>
      <c r="D12" s="267"/>
      <c r="E12" s="267">
        <f>SUM(E9:E10)</f>
        <v>0</v>
      </c>
      <c r="F12" s="267">
        <f>SUM(F9:F10)</f>
        <v>0</v>
      </c>
    </row>
    <row r="13" spans="1:9" ht="20" customHeight="1" thickTop="1">
      <c r="A13" s="179"/>
      <c r="B13" s="88"/>
      <c r="C13" s="89"/>
      <c r="D13" s="89"/>
      <c r="E13" s="268"/>
      <c r="F13" s="268"/>
    </row>
    <row r="14" spans="1:9" ht="20" customHeight="1">
      <c r="A14" s="179"/>
      <c r="B14" s="88"/>
      <c r="C14" s="89"/>
      <c r="D14" s="89"/>
      <c r="E14" s="268"/>
      <c r="F14" s="268"/>
    </row>
    <row r="15" spans="1:9" ht="20" customHeight="1">
      <c r="A15" s="183">
        <v>3.13</v>
      </c>
      <c r="B15" s="95" t="s">
        <v>492</v>
      </c>
      <c r="C15" s="89"/>
      <c r="D15" s="89"/>
      <c r="E15" s="89"/>
      <c r="F15" s="89"/>
    </row>
    <row r="16" spans="1:9" ht="20" customHeight="1">
      <c r="A16" s="179"/>
      <c r="B16" s="95"/>
      <c r="C16" s="96"/>
      <c r="D16" s="263" t="str">
        <f>D8</f>
        <v>Upto 15 Asadh 2083</v>
      </c>
      <c r="E16" s="263" t="str">
        <f>E8</f>
        <v>Upto 18 Magh 2082</v>
      </c>
      <c r="F16" s="263" t="str">
        <f>F8</f>
        <v>FY 2081-82</v>
      </c>
    </row>
    <row r="17" spans="1:8" ht="20" customHeight="1">
      <c r="A17" s="179"/>
      <c r="B17" s="88" t="s">
        <v>493</v>
      </c>
      <c r="C17" s="89"/>
      <c r="D17" s="224">
        <v>0</v>
      </c>
      <c r="E17" s="224">
        <v>0</v>
      </c>
      <c r="F17" s="265"/>
    </row>
    <row r="18" spans="1:8" ht="20" customHeight="1">
      <c r="A18" s="179"/>
      <c r="B18" s="88" t="s">
        <v>494</v>
      </c>
      <c r="C18" s="89"/>
      <c r="D18" s="224">
        <v>0</v>
      </c>
      <c r="E18" s="224">
        <v>0</v>
      </c>
      <c r="F18" s="265">
        <v>0</v>
      </c>
    </row>
    <row r="19" spans="1:8" ht="20" customHeight="1">
      <c r="A19" s="179"/>
      <c r="B19" s="88" t="s">
        <v>495</v>
      </c>
      <c r="C19" s="89"/>
      <c r="D19" s="224">
        <v>0</v>
      </c>
      <c r="E19" s="224">
        <v>0</v>
      </c>
      <c r="F19" s="265"/>
    </row>
    <row r="20" spans="1:8" ht="20" customHeight="1">
      <c r="A20" s="179"/>
      <c r="B20" s="95"/>
      <c r="C20" s="96"/>
      <c r="D20" s="266"/>
      <c r="E20" s="266"/>
      <c r="F20" s="266"/>
    </row>
    <row r="21" spans="1:8" ht="20" customHeight="1" thickBot="1">
      <c r="A21" s="179"/>
      <c r="B21" s="88"/>
      <c r="C21" s="89"/>
      <c r="D21" s="267">
        <f>SUM(D17:D19)</f>
        <v>0</v>
      </c>
      <c r="E21" s="267">
        <f>SUM(E17:E19)</f>
        <v>0</v>
      </c>
      <c r="F21" s="267">
        <f>SUM(F17:F19)</f>
        <v>0</v>
      </c>
    </row>
    <row r="22" spans="1:8" ht="20" customHeight="1" thickTop="1">
      <c r="A22" s="179"/>
      <c r="B22" s="88"/>
      <c r="C22" s="89"/>
      <c r="D22" s="89"/>
      <c r="E22" s="268"/>
      <c r="F22" s="268"/>
    </row>
    <row r="23" spans="1:8" ht="20" customHeight="1">
      <c r="A23" s="179"/>
      <c r="B23" s="88"/>
      <c r="C23" s="89"/>
      <c r="D23" s="89"/>
      <c r="E23" s="268"/>
      <c r="F23" s="268"/>
    </row>
    <row r="24" spans="1:8" ht="20" customHeight="1">
      <c r="A24" s="183">
        <v>3.14</v>
      </c>
      <c r="B24" s="95" t="s">
        <v>282</v>
      </c>
      <c r="C24" s="89"/>
      <c r="D24" s="89"/>
      <c r="E24" s="89"/>
      <c r="F24" s="89"/>
    </row>
    <row r="25" spans="1:8" ht="20" customHeight="1">
      <c r="A25" s="179"/>
      <c r="B25" s="95"/>
      <c r="C25" s="96"/>
      <c r="D25" s="263" t="str">
        <f>D8</f>
        <v>Upto 15 Asadh 2083</v>
      </c>
      <c r="E25" s="263" t="str">
        <f>E8</f>
        <v>Upto 18 Magh 2082</v>
      </c>
      <c r="F25" s="263" t="str">
        <f>F8</f>
        <v>FY 2081-82</v>
      </c>
    </row>
    <row r="26" spans="1:8" ht="20" customHeight="1">
      <c r="A26" s="179"/>
      <c r="B26" s="88" t="s">
        <v>496</v>
      </c>
      <c r="C26" s="89"/>
      <c r="D26" s="224">
        <f>E28</f>
        <v>0</v>
      </c>
      <c r="E26" s="224">
        <f>F28</f>
        <v>0</v>
      </c>
      <c r="F26" s="269">
        <v>0</v>
      </c>
    </row>
    <row r="27" spans="1:8" ht="20" customHeight="1">
      <c r="A27" s="179"/>
      <c r="B27" s="88" t="s">
        <v>497</v>
      </c>
      <c r="C27" s="89"/>
      <c r="D27" s="224">
        <v>0</v>
      </c>
      <c r="E27" s="224">
        <v>0</v>
      </c>
      <c r="F27" s="269">
        <v>0</v>
      </c>
      <c r="H27" s="180">
        <v>120571</v>
      </c>
    </row>
    <row r="28" spans="1:8" ht="20" customHeight="1">
      <c r="A28" s="179"/>
      <c r="B28" s="88" t="s">
        <v>498</v>
      </c>
      <c r="C28" s="89"/>
      <c r="D28" s="270">
        <v>0</v>
      </c>
      <c r="E28" s="270">
        <v>0</v>
      </c>
      <c r="F28" s="271">
        <v>0</v>
      </c>
    </row>
    <row r="29" spans="1:8" ht="20" customHeight="1">
      <c r="A29" s="179"/>
      <c r="B29" s="95"/>
      <c r="C29" s="96"/>
      <c r="D29" s="272"/>
      <c r="E29" s="272"/>
      <c r="F29" s="272"/>
    </row>
    <row r="30" spans="1:8" ht="20" customHeight="1" thickBot="1">
      <c r="A30" s="179"/>
      <c r="B30" s="95"/>
      <c r="C30" s="96"/>
      <c r="D30" s="267">
        <f>D26+D27-D28</f>
        <v>0</v>
      </c>
      <c r="E30" s="267">
        <f>E26+E27-E28</f>
        <v>0</v>
      </c>
      <c r="F30" s="267">
        <f>F26+F27-F28</f>
        <v>0</v>
      </c>
    </row>
    <row r="31" spans="1:8" ht="20" customHeight="1" thickTop="1">
      <c r="A31" s="179"/>
      <c r="B31" s="95"/>
      <c r="C31" s="96"/>
      <c r="D31" s="96"/>
      <c r="E31" s="268"/>
      <c r="F31" s="268"/>
    </row>
    <row r="32" spans="1:8" ht="20" customHeight="1">
      <c r="A32" s="183">
        <v>3.15</v>
      </c>
      <c r="B32" s="95" t="s">
        <v>283</v>
      </c>
      <c r="C32" s="89"/>
      <c r="D32" s="89"/>
      <c r="E32" s="89"/>
      <c r="F32" s="89"/>
    </row>
    <row r="33" spans="1:8" ht="20" customHeight="1">
      <c r="A33" s="179"/>
      <c r="B33" s="95"/>
      <c r="C33" s="96"/>
      <c r="D33" s="263" t="str">
        <f>D25</f>
        <v>Upto 15 Asadh 2083</v>
      </c>
      <c r="E33" s="263" t="str">
        <f>E66</f>
        <v>Upto 18 Magh 2082</v>
      </c>
      <c r="F33" s="263" t="str">
        <f>F66</f>
        <v>FY 2081-82</v>
      </c>
    </row>
    <row r="34" spans="1:8" ht="20" customHeight="1">
      <c r="A34" s="179"/>
      <c r="B34" s="273" t="s">
        <v>499</v>
      </c>
      <c r="C34" s="89"/>
      <c r="D34" s="224"/>
      <c r="E34" s="224"/>
      <c r="F34" s="274"/>
    </row>
    <row r="35" spans="1:8" ht="20" customHeight="1">
      <c r="A35" s="179"/>
      <c r="B35" s="88" t="s">
        <v>500</v>
      </c>
      <c r="C35" s="89"/>
      <c r="D35" s="224"/>
      <c r="E35" s="224"/>
      <c r="F35" s="269"/>
    </row>
    <row r="36" spans="1:8" ht="20" customHeight="1">
      <c r="A36" s="179"/>
      <c r="B36" s="275" t="s">
        <v>501</v>
      </c>
      <c r="C36" s="89"/>
      <c r="D36" s="224"/>
      <c r="E36" s="224"/>
      <c r="F36" s="269"/>
    </row>
    <row r="37" spans="1:8" ht="20" customHeight="1">
      <c r="A37" s="179"/>
      <c r="B37" s="95"/>
      <c r="C37" s="96"/>
      <c r="D37" s="276"/>
      <c r="E37" s="276"/>
      <c r="F37" s="266"/>
    </row>
    <row r="38" spans="1:8" ht="20" customHeight="1" thickBot="1">
      <c r="A38" s="179"/>
      <c r="B38" s="95"/>
      <c r="C38" s="96"/>
      <c r="D38" s="277">
        <f>SUM(D34:D36)</f>
        <v>0</v>
      </c>
      <c r="E38" s="277">
        <f>SUM(E34:E36)</f>
        <v>0</v>
      </c>
      <c r="F38" s="267">
        <f>SUM(F34:F36)</f>
        <v>0</v>
      </c>
    </row>
    <row r="39" spans="1:8" ht="20" customHeight="1" thickTop="1">
      <c r="A39" s="179"/>
      <c r="B39" s="95"/>
      <c r="C39" s="96"/>
      <c r="D39" s="96"/>
      <c r="E39" s="278"/>
      <c r="F39" s="268"/>
    </row>
    <row r="40" spans="1:8" ht="20" customHeight="1">
      <c r="A40" s="179"/>
      <c r="B40" s="95"/>
      <c r="C40" s="96"/>
      <c r="D40" s="96"/>
      <c r="E40" s="268"/>
      <c r="F40" s="268"/>
    </row>
    <row r="41" spans="1:8" ht="20" customHeight="1">
      <c r="A41" s="183">
        <v>3.16</v>
      </c>
      <c r="B41" s="95" t="s">
        <v>284</v>
      </c>
      <c r="C41" s="89"/>
      <c r="D41" s="89"/>
      <c r="E41" s="89"/>
      <c r="F41" s="89"/>
    </row>
    <row r="42" spans="1:8" ht="20" customHeight="1">
      <c r="A42" s="179"/>
      <c r="B42" s="95"/>
      <c r="C42" s="96"/>
      <c r="D42" s="263" t="str">
        <f>D25</f>
        <v>Upto 15 Asadh 2083</v>
      </c>
      <c r="E42" s="263" t="str">
        <f>E25</f>
        <v>Upto 18 Magh 2082</v>
      </c>
      <c r="F42" s="263" t="str">
        <f>F25</f>
        <v>FY 2081-82</v>
      </c>
    </row>
    <row r="43" spans="1:8" ht="20" customHeight="1">
      <c r="A43" s="179"/>
      <c r="B43" s="88" t="s">
        <v>502</v>
      </c>
      <c r="C43" s="89"/>
      <c r="D43" s="224">
        <v>0</v>
      </c>
      <c r="E43" s="269">
        <v>0</v>
      </c>
      <c r="F43" s="269">
        <v>0</v>
      </c>
    </row>
    <row r="44" spans="1:8" ht="20" hidden="1" customHeight="1">
      <c r="A44" s="179"/>
      <c r="B44" s="88" t="s">
        <v>503</v>
      </c>
      <c r="C44" s="89"/>
      <c r="D44" s="224"/>
      <c r="E44" s="269"/>
      <c r="F44" s="269"/>
    </row>
    <row r="45" spans="1:8" ht="20" hidden="1" customHeight="1">
      <c r="A45" s="179"/>
      <c r="B45" s="88" t="s">
        <v>504</v>
      </c>
      <c r="C45" s="89"/>
      <c r="D45" s="224"/>
      <c r="E45" s="269"/>
      <c r="F45" s="269"/>
    </row>
    <row r="46" spans="1:8" ht="20" hidden="1" customHeight="1">
      <c r="A46" s="179"/>
      <c r="B46" s="88" t="s">
        <v>505</v>
      </c>
      <c r="C46" s="89"/>
      <c r="D46" s="224"/>
      <c r="E46" s="269"/>
      <c r="F46" s="269"/>
      <c r="H46" s="180">
        <f>58914+49076</f>
        <v>107990</v>
      </c>
    </row>
    <row r="47" spans="1:8" ht="20" hidden="1" customHeight="1">
      <c r="A47" s="179"/>
      <c r="B47" s="88" t="s">
        <v>506</v>
      </c>
      <c r="C47" s="89"/>
      <c r="D47" s="224"/>
      <c r="E47" s="269"/>
      <c r="F47" s="269"/>
    </row>
    <row r="48" spans="1:8" ht="20" customHeight="1">
      <c r="A48" s="179"/>
      <c r="B48" s="88"/>
      <c r="C48" s="89"/>
      <c r="D48" s="89"/>
      <c r="E48" s="200"/>
      <c r="F48" s="200"/>
    </row>
    <row r="49" spans="1:6" ht="20" customHeight="1">
      <c r="A49" s="179"/>
      <c r="B49" s="88"/>
      <c r="C49" s="89"/>
      <c r="D49" s="266"/>
      <c r="E49" s="272"/>
      <c r="F49" s="272"/>
    </row>
    <row r="50" spans="1:6" ht="20" customHeight="1" thickBot="1">
      <c r="A50" s="179"/>
      <c r="B50" s="95"/>
      <c r="C50" s="96"/>
      <c r="D50" s="267">
        <f>SUM(D43:D48)</f>
        <v>0</v>
      </c>
      <c r="E50" s="267">
        <f>SUM(E43:E47)</f>
        <v>0</v>
      </c>
      <c r="F50" s="267">
        <f>SUM(F43:F47)</f>
        <v>0</v>
      </c>
    </row>
    <row r="51" spans="1:6" ht="20" customHeight="1" thickTop="1">
      <c r="A51" s="179"/>
      <c r="B51" s="88"/>
      <c r="C51" s="89"/>
      <c r="D51" s="89"/>
      <c r="E51" s="89"/>
      <c r="F51" s="89"/>
    </row>
    <row r="52" spans="1:6" ht="20" hidden="1" customHeight="1">
      <c r="A52" s="179"/>
      <c r="B52" s="95" t="s">
        <v>507</v>
      </c>
      <c r="C52" s="89"/>
      <c r="D52" s="89"/>
      <c r="E52" s="89"/>
      <c r="F52" s="89"/>
    </row>
    <row r="53" spans="1:6" ht="35" hidden="1" customHeight="1">
      <c r="A53" s="179"/>
      <c r="B53" s="329" t="s">
        <v>508</v>
      </c>
      <c r="C53" s="329"/>
      <c r="D53" s="329"/>
      <c r="E53" s="329"/>
      <c r="F53" s="329"/>
    </row>
    <row r="54" spans="1:6" ht="20" hidden="1" customHeight="1">
      <c r="A54" s="179"/>
      <c r="B54" s="88"/>
      <c r="C54" s="89"/>
      <c r="D54" s="89"/>
      <c r="E54" s="89"/>
      <c r="F54" s="89"/>
    </row>
    <row r="55" spans="1:6" ht="20" hidden="1" customHeight="1">
      <c r="A55" s="179"/>
      <c r="B55" s="95"/>
      <c r="C55" s="96"/>
      <c r="D55" s="96"/>
      <c r="E55" s="263" t="str">
        <f>E42</f>
        <v>Upto 18 Magh 2082</v>
      </c>
      <c r="F55" s="263" t="str">
        <f>F42</f>
        <v>FY 2081-82</v>
      </c>
    </row>
    <row r="56" spans="1:6" ht="20" hidden="1" customHeight="1">
      <c r="A56" s="179"/>
      <c r="B56" s="88" t="s">
        <v>188</v>
      </c>
      <c r="C56" s="89"/>
      <c r="D56" s="89"/>
      <c r="E56" s="89"/>
      <c r="F56" s="89"/>
    </row>
    <row r="57" spans="1:6" ht="20" hidden="1" customHeight="1">
      <c r="A57" s="179"/>
      <c r="B57" s="88" t="s">
        <v>509</v>
      </c>
      <c r="C57" s="89"/>
      <c r="D57" s="89"/>
      <c r="E57" s="89"/>
      <c r="F57" s="89"/>
    </row>
    <row r="58" spans="1:6" ht="20" hidden="1" customHeight="1">
      <c r="A58" s="179"/>
      <c r="B58" s="88" t="s">
        <v>510</v>
      </c>
      <c r="C58" s="89"/>
      <c r="D58" s="89"/>
      <c r="E58" s="89"/>
      <c r="F58" s="89"/>
    </row>
    <row r="59" spans="1:6" ht="20" hidden="1" customHeight="1">
      <c r="A59" s="179"/>
      <c r="B59" s="88" t="s">
        <v>511</v>
      </c>
      <c r="C59" s="89"/>
      <c r="D59" s="89"/>
      <c r="E59" s="89"/>
      <c r="F59" s="89"/>
    </row>
    <row r="60" spans="1:6" ht="20" hidden="1" customHeight="1">
      <c r="A60" s="179"/>
      <c r="B60" s="88" t="s">
        <v>512</v>
      </c>
      <c r="C60" s="89"/>
      <c r="D60" s="89"/>
      <c r="E60" s="89"/>
      <c r="F60" s="89"/>
    </row>
    <row r="61" spans="1:6" ht="20" hidden="1" customHeight="1">
      <c r="A61" s="179"/>
      <c r="B61" s="88"/>
      <c r="C61" s="96"/>
      <c r="D61" s="96"/>
      <c r="E61" s="266"/>
      <c r="F61" s="266"/>
    </row>
    <row r="62" spans="1:6" ht="20" hidden="1" customHeight="1" thickBot="1">
      <c r="A62" s="179"/>
      <c r="B62" s="179"/>
      <c r="C62" s="179"/>
      <c r="D62" s="179"/>
      <c r="E62" s="267">
        <f>SUM(E60:E60)</f>
        <v>0</v>
      </c>
      <c r="F62" s="267">
        <f>SUM(F60:F60)</f>
        <v>0</v>
      </c>
    </row>
    <row r="63" spans="1:6" ht="20" hidden="1" customHeight="1" thickTop="1">
      <c r="A63" s="179"/>
      <c r="B63" s="179"/>
      <c r="C63" s="179"/>
      <c r="D63" s="179"/>
      <c r="E63" s="179"/>
      <c r="F63" s="179"/>
    </row>
    <row r="64" spans="1:6" ht="20" hidden="1" customHeight="1">
      <c r="A64" s="179"/>
      <c r="B64" s="179"/>
      <c r="C64" s="179"/>
      <c r="D64" s="179"/>
      <c r="E64" s="179"/>
      <c r="F64" s="179"/>
    </row>
    <row r="65" spans="1:6" ht="20" customHeight="1">
      <c r="A65" s="183">
        <v>3.17</v>
      </c>
      <c r="B65" s="95" t="s">
        <v>285</v>
      </c>
      <c r="C65" s="89"/>
      <c r="D65" s="89"/>
      <c r="E65" s="89"/>
      <c r="F65" s="89"/>
    </row>
    <row r="66" spans="1:6" ht="20" customHeight="1">
      <c r="A66" s="179"/>
      <c r="B66" s="95"/>
      <c r="C66" s="96"/>
      <c r="D66" s="263" t="str">
        <f>D42</f>
        <v>Upto 15 Asadh 2083</v>
      </c>
      <c r="E66" s="263" t="str">
        <f>E55</f>
        <v>Upto 18 Magh 2082</v>
      </c>
      <c r="F66" s="263" t="str">
        <f>F55</f>
        <v>FY 2081-82</v>
      </c>
    </row>
    <row r="67" spans="1:6" ht="20" customHeight="1">
      <c r="A67" s="179"/>
      <c r="B67" s="196" t="s">
        <v>513</v>
      </c>
      <c r="C67" s="96"/>
      <c r="D67" s="279"/>
      <c r="E67" s="279"/>
      <c r="F67" s="279"/>
    </row>
    <row r="68" spans="1:6" ht="20" customHeight="1">
      <c r="A68" s="179"/>
      <c r="B68" s="280" t="s">
        <v>187</v>
      </c>
      <c r="C68" s="89"/>
      <c r="D68" s="224">
        <f>'TB update upto 10.18'!F106</f>
        <v>0</v>
      </c>
      <c r="E68" s="224">
        <f>'TB update upto 10.18'!G106</f>
        <v>33900</v>
      </c>
      <c r="F68" s="281">
        <v>28250</v>
      </c>
    </row>
    <row r="69" spans="1:6" ht="20" customHeight="1">
      <c r="A69" s="179"/>
      <c r="B69" s="280" t="s">
        <v>514</v>
      </c>
      <c r="C69" s="89"/>
      <c r="D69" s="224"/>
      <c r="E69" s="224"/>
      <c r="F69" s="281">
        <v>1132</v>
      </c>
    </row>
    <row r="70" spans="1:6" ht="20" customHeight="1">
      <c r="A70" s="179"/>
      <c r="B70" s="280" t="s">
        <v>515</v>
      </c>
      <c r="C70" s="89"/>
      <c r="D70" s="224"/>
      <c r="E70" s="224"/>
      <c r="F70" s="281"/>
    </row>
    <row r="71" spans="1:6" ht="20" customHeight="1">
      <c r="A71" s="179"/>
      <c r="B71" s="280" t="s">
        <v>516</v>
      </c>
      <c r="C71" s="89"/>
      <c r="D71" s="224"/>
      <c r="E71" s="224"/>
      <c r="F71" s="281"/>
    </row>
    <row r="72" spans="1:6" ht="20" customHeight="1">
      <c r="A72" s="179"/>
      <c r="B72" s="280" t="s">
        <v>517</v>
      </c>
      <c r="C72" s="89"/>
      <c r="D72" s="224"/>
      <c r="E72" s="224"/>
      <c r="F72" s="281"/>
    </row>
    <row r="73" spans="1:6" ht="20" customHeight="1">
      <c r="A73" s="179"/>
      <c r="B73" s="280" t="s">
        <v>518</v>
      </c>
      <c r="C73" s="89"/>
      <c r="D73" s="224"/>
      <c r="E73" s="224"/>
      <c r="F73" s="281"/>
    </row>
    <row r="74" spans="1:6" ht="20" customHeight="1">
      <c r="A74" s="179"/>
      <c r="B74" s="280" t="s">
        <v>519</v>
      </c>
      <c r="C74" s="89"/>
      <c r="D74" s="224"/>
      <c r="E74" s="224"/>
      <c r="F74" s="281"/>
    </row>
    <row r="75" spans="1:6" ht="20" customHeight="1">
      <c r="A75" s="179"/>
      <c r="B75" s="280" t="s">
        <v>520</v>
      </c>
      <c r="C75" s="89"/>
      <c r="D75" s="224"/>
      <c r="E75" s="224"/>
      <c r="F75" s="281"/>
    </row>
    <row r="76" spans="1:6" ht="20" customHeight="1">
      <c r="A76" s="179"/>
      <c r="B76" s="282" t="s">
        <v>521</v>
      </c>
      <c r="C76" s="89"/>
      <c r="D76" s="224"/>
      <c r="E76" s="224"/>
      <c r="F76" s="281"/>
    </row>
    <row r="77" spans="1:6" ht="20" customHeight="1">
      <c r="A77" s="179"/>
      <c r="B77" s="282" t="s">
        <v>102</v>
      </c>
      <c r="C77" s="89"/>
      <c r="D77" s="224"/>
      <c r="E77" s="224"/>
      <c r="F77" s="281"/>
    </row>
    <row r="78" spans="1:6" ht="20" customHeight="1">
      <c r="A78" s="179"/>
      <c r="B78" s="282" t="s">
        <v>522</v>
      </c>
      <c r="C78" s="89"/>
      <c r="D78" s="224"/>
      <c r="E78" s="224"/>
      <c r="F78" s="224"/>
    </row>
    <row r="79" spans="1:6" ht="20" customHeight="1">
      <c r="A79" s="179"/>
      <c r="B79" s="282" t="s">
        <v>523</v>
      </c>
      <c r="C79" s="89"/>
      <c r="D79" s="283"/>
      <c r="E79" s="283"/>
      <c r="F79" s="224"/>
    </row>
    <row r="80" spans="1:6" ht="20" customHeight="1">
      <c r="A80" s="179"/>
      <c r="B80" s="88" t="s">
        <v>524</v>
      </c>
      <c r="C80" s="179"/>
      <c r="D80" s="224"/>
      <c r="E80" s="224"/>
      <c r="F80" s="224"/>
    </row>
    <row r="81" spans="1:6" ht="20" customHeight="1" thickBot="1">
      <c r="A81" s="179"/>
      <c r="B81" s="88"/>
      <c r="C81" s="179"/>
      <c r="D81" s="267">
        <f>SUM(D68:D80)</f>
        <v>0</v>
      </c>
      <c r="E81" s="267">
        <f>SUM(E68:E80)</f>
        <v>33900</v>
      </c>
      <c r="F81" s="267">
        <f>SUM(F68:F80)</f>
        <v>29382</v>
      </c>
    </row>
    <row r="82" spans="1:6" ht="20" customHeight="1" thickTop="1">
      <c r="A82" s="179"/>
      <c r="B82" s="88"/>
      <c r="C82" s="179"/>
      <c r="D82" s="179"/>
      <c r="E82" s="224"/>
      <c r="F82" s="224"/>
    </row>
    <row r="83" spans="1:6" ht="20" customHeight="1">
      <c r="A83" s="183">
        <v>3.18</v>
      </c>
      <c r="B83" s="95" t="s">
        <v>525</v>
      </c>
      <c r="C83" s="89"/>
      <c r="D83" s="89"/>
      <c r="E83" s="89"/>
      <c r="F83" s="89"/>
    </row>
    <row r="84" spans="1:6" ht="20" customHeight="1">
      <c r="A84" s="179"/>
      <c r="B84" s="95"/>
      <c r="C84" s="96"/>
      <c r="D84" s="263" t="str">
        <f>D33</f>
        <v>Upto 15 Asadh 2083</v>
      </c>
      <c r="E84" s="263" t="str">
        <f>E33</f>
        <v>Upto 18 Magh 2082</v>
      </c>
      <c r="F84" s="263" t="str">
        <f>F33</f>
        <v>FY 2081-82</v>
      </c>
    </row>
    <row r="85" spans="1:6" ht="20" customHeight="1">
      <c r="A85" s="179"/>
      <c r="B85" s="88" t="s">
        <v>526</v>
      </c>
      <c r="C85" s="89"/>
      <c r="D85" s="224"/>
      <c r="E85" s="224"/>
      <c r="F85" s="224"/>
    </row>
    <row r="86" spans="1:6" ht="20" customHeight="1" thickBot="1">
      <c r="A86" s="179"/>
      <c r="B86" s="95"/>
      <c r="C86" s="96"/>
      <c r="D86" s="267">
        <f>SUM(D85:D85)</f>
        <v>0</v>
      </c>
      <c r="E86" s="267">
        <f>SUM(E85:E85)</f>
        <v>0</v>
      </c>
      <c r="F86" s="267">
        <f>SUM(F85:F85)</f>
        <v>0</v>
      </c>
    </row>
    <row r="87" spans="1:6" ht="14" thickTop="1">
      <c r="A87" s="179"/>
      <c r="B87" s="179"/>
      <c r="C87" s="179"/>
      <c r="D87" s="179"/>
      <c r="E87" s="179"/>
      <c r="F87" s="179"/>
    </row>
  </sheetData>
  <mergeCells count="3">
    <mergeCell ref="A1:F1"/>
    <mergeCell ref="A3:F3"/>
    <mergeCell ref="B53:F53"/>
  </mergeCells>
  <pageMargins left="0.7" right="0.7" top="0.75" bottom="0.75" header="0.3" footer="0.3"/>
  <pageSetup scale="78" orientation="portrait" r:id="rId1"/>
  <rowBreaks count="1" manualBreakCount="1">
    <brk id="40" max="5"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3AF23-D89E-4299-BEC7-178305161457}">
  <sheetPr>
    <tabColor rgb="FF00B050"/>
  </sheetPr>
  <dimension ref="A1:D37"/>
  <sheetViews>
    <sheetView showGridLines="0" view="pageBreakPreview" topLeftCell="A9" zoomScaleNormal="100" zoomScaleSheetLayoutView="100" workbookViewId="0">
      <selection activeCell="C12" sqref="C12"/>
    </sheetView>
  </sheetViews>
  <sheetFormatPr defaultColWidth="9.1796875" defaultRowHeight="13.5"/>
  <cols>
    <col min="1" max="1" width="9.1796875" style="180"/>
    <col min="2" max="2" width="45.1796875" style="180" bestFit="1" customWidth="1"/>
    <col min="3" max="3" width="25.453125" style="180" customWidth="1"/>
    <col min="4" max="4" width="20.453125" style="180" customWidth="1"/>
    <col min="5" max="16384" width="9.1796875" style="180"/>
  </cols>
  <sheetData>
    <row r="1" spans="1:4" ht="17.5">
      <c r="A1" s="327" t="str">
        <f>'[5]3.3'!A1:E1</f>
        <v>CELER MART PVT. LTD.</v>
      </c>
      <c r="B1" s="327"/>
      <c r="C1" s="327"/>
      <c r="D1" s="327"/>
    </row>
    <row r="2" spans="1:4" ht="17.5">
      <c r="C2" s="213"/>
      <c r="D2" s="213"/>
    </row>
    <row r="3" spans="1:4" ht="20" customHeight="1">
      <c r="A3" s="328" t="s">
        <v>337</v>
      </c>
      <c r="B3" s="328"/>
      <c r="C3" s="328"/>
      <c r="D3" s="328"/>
    </row>
    <row r="4" spans="1:4" ht="20" customHeight="1">
      <c r="C4" s="213"/>
      <c r="D4" s="213"/>
    </row>
    <row r="5" spans="1:4" ht="20" customHeight="1" thickBot="1">
      <c r="A5" s="218"/>
      <c r="B5" s="218"/>
      <c r="C5" s="218"/>
      <c r="D5" s="182" t="s">
        <v>276</v>
      </c>
    </row>
    <row r="6" spans="1:4" ht="20" customHeight="1"/>
    <row r="7" spans="1:4" ht="20" customHeight="1">
      <c r="A7" s="183">
        <v>3.19</v>
      </c>
      <c r="B7" s="95" t="s">
        <v>527</v>
      </c>
      <c r="C7" s="89"/>
      <c r="D7" s="89"/>
    </row>
    <row r="8" spans="1:4" ht="20" customHeight="1">
      <c r="B8" s="95"/>
      <c r="C8" s="284" t="str">
        <f>'3.12 to 3.18 ao 10.18'!D8</f>
        <v>Upto 18 Magh 2082</v>
      </c>
      <c r="D8" s="284" t="str">
        <f>'3.12 to 3.18 ao 10.18'!E8</f>
        <v>FY 2081-82</v>
      </c>
    </row>
    <row r="9" spans="1:4" ht="20" customHeight="1">
      <c r="B9" s="88" t="s">
        <v>528</v>
      </c>
      <c r="C9" s="89"/>
      <c r="D9" s="224">
        <v>0</v>
      </c>
    </row>
    <row r="10" spans="1:4" ht="20" customHeight="1">
      <c r="B10" s="88"/>
      <c r="C10" s="89"/>
      <c r="D10" s="89"/>
    </row>
    <row r="11" spans="1:4" ht="20" customHeight="1">
      <c r="B11" s="95"/>
      <c r="C11" s="266"/>
      <c r="D11" s="266"/>
    </row>
    <row r="12" spans="1:4" ht="20" customHeight="1" thickBot="1">
      <c r="B12" s="88"/>
      <c r="C12" s="267">
        <f>SUM(C10:C10)</f>
        <v>0</v>
      </c>
      <c r="D12" s="267">
        <f>SUM(D9:D10)</f>
        <v>0</v>
      </c>
    </row>
    <row r="13" spans="1:4" ht="20" customHeight="1" thickTop="1">
      <c r="B13" s="88"/>
      <c r="C13" s="268"/>
      <c r="D13" s="268"/>
    </row>
    <row r="14" spans="1:4" ht="20" customHeight="1">
      <c r="A14" s="285">
        <v>3.2</v>
      </c>
      <c r="B14" s="95" t="s">
        <v>529</v>
      </c>
      <c r="C14" s="96"/>
      <c r="D14" s="96"/>
    </row>
    <row r="15" spans="1:4" ht="20" customHeight="1">
      <c r="B15" s="95"/>
      <c r="C15" s="286" t="str">
        <f>C8</f>
        <v>Upto 18 Magh 2082</v>
      </c>
      <c r="D15" s="286" t="str">
        <f>D8</f>
        <v>FY 2081-82</v>
      </c>
    </row>
    <row r="16" spans="1:4" ht="20" customHeight="1">
      <c r="B16" s="88" t="s">
        <v>530</v>
      </c>
      <c r="C16" s="224">
        <f>'Tax Computation 10.18'!C16</f>
        <v>0</v>
      </c>
      <c r="D16" s="287">
        <f>'SOI 10.18'!D21</f>
        <v>0</v>
      </c>
    </row>
    <row r="17" spans="2:4" ht="20" customHeight="1">
      <c r="B17" s="88" t="s">
        <v>531</v>
      </c>
      <c r="C17" s="224">
        <v>0</v>
      </c>
      <c r="D17" s="287">
        <f>'SOI 10.18'!D22</f>
        <v>0</v>
      </c>
    </row>
    <row r="18" spans="2:4" ht="20" customHeight="1">
      <c r="B18" s="95"/>
      <c r="C18" s="276"/>
      <c r="D18" s="266"/>
    </row>
    <row r="19" spans="2:4" ht="20" customHeight="1" thickBot="1">
      <c r="B19" s="179"/>
      <c r="C19" s="277">
        <f>SUM(C16:C17)</f>
        <v>0</v>
      </c>
      <c r="D19" s="267">
        <f>SUM(D16:D17)</f>
        <v>0</v>
      </c>
    </row>
    <row r="20" spans="2:4" ht="20" customHeight="1" thickTop="1">
      <c r="B20" s="179"/>
      <c r="C20" s="179"/>
      <c r="D20" s="179"/>
    </row>
    <row r="21" spans="2:4" ht="20" customHeight="1">
      <c r="B21" s="186" t="s">
        <v>532</v>
      </c>
      <c r="C21" s="179"/>
      <c r="D21" s="179"/>
    </row>
    <row r="22" spans="2:4" ht="20" customHeight="1">
      <c r="B22" s="179"/>
      <c r="C22" s="286" t="str">
        <f>C15</f>
        <v>Upto 18 Magh 2082</v>
      </c>
      <c r="D22" s="286" t="str">
        <f>D15</f>
        <v>FY 2081-82</v>
      </c>
    </row>
    <row r="23" spans="2:4" ht="20" customHeight="1">
      <c r="B23" s="288" t="s">
        <v>533</v>
      </c>
      <c r="C23" s="289">
        <f>'Tax Computation 10.18'!C3</f>
        <v>-164485.25</v>
      </c>
      <c r="D23" s="289">
        <f>'SOI 10.18'!D19</f>
        <v>-177096</v>
      </c>
    </row>
    <row r="24" spans="2:4" ht="20" customHeight="1">
      <c r="B24" s="179" t="s">
        <v>534</v>
      </c>
      <c r="C24" s="290">
        <f>'Tax Computation 10.18'!C4</f>
        <v>130585.25</v>
      </c>
      <c r="D24" s="290">
        <f>'SOI 10.18'!D17</f>
        <v>147714</v>
      </c>
    </row>
    <row r="25" spans="2:4" ht="20" customHeight="1">
      <c r="B25" s="179" t="s">
        <v>535</v>
      </c>
      <c r="C25" s="290">
        <f>'Tax Computation 10.18'!C5</f>
        <v>0</v>
      </c>
      <c r="D25" s="290">
        <f>-D24</f>
        <v>-147714</v>
      </c>
    </row>
    <row r="26" spans="2:4" ht="20" customHeight="1">
      <c r="B26" s="179" t="s">
        <v>536</v>
      </c>
      <c r="C26" s="290">
        <f>'Tax Computation 10.18'!C6</f>
        <v>0</v>
      </c>
      <c r="D26" s="290">
        <f>-[5]Reco!F23</f>
        <v>0</v>
      </c>
    </row>
    <row r="27" spans="2:4" ht="20" customHeight="1">
      <c r="B27" s="179" t="s">
        <v>537</v>
      </c>
      <c r="C27" s="290">
        <f>'Tax Computation 10.18'!C7</f>
        <v>0</v>
      </c>
      <c r="D27" s="290">
        <f>-[5]Reco!F15</f>
        <v>0</v>
      </c>
    </row>
    <row r="28" spans="2:4" ht="20" customHeight="1">
      <c r="B28" s="179" t="s">
        <v>538</v>
      </c>
      <c r="C28" s="290">
        <f>'Tax Computation 10.18'!C8</f>
        <v>0</v>
      </c>
      <c r="D28" s="290">
        <f>-[5]Reco!F14</f>
        <v>0</v>
      </c>
    </row>
    <row r="29" spans="2:4" ht="20" customHeight="1">
      <c r="B29" s="179" t="s">
        <v>539</v>
      </c>
      <c r="C29" s="290">
        <f>'Tax Computation 10.18'!C9</f>
        <v>0</v>
      </c>
      <c r="D29" s="290">
        <f>-[5]Reco!F17</f>
        <v>0</v>
      </c>
    </row>
    <row r="30" spans="2:4" ht="20" customHeight="1">
      <c r="B30" s="179" t="s">
        <v>540</v>
      </c>
      <c r="C30" s="290">
        <f>'Tax Computation 10.18'!C10</f>
        <v>0</v>
      </c>
      <c r="D30" s="290">
        <f>-[5]Reco!F16</f>
        <v>0</v>
      </c>
    </row>
    <row r="31" spans="2:4" ht="20" customHeight="1">
      <c r="B31" s="179" t="s">
        <v>541</v>
      </c>
      <c r="C31" s="290">
        <f>'Tax Computation 10.18'!C11</f>
        <v>0</v>
      </c>
      <c r="D31" s="290">
        <f>-[5]Reco!F20</f>
        <v>0</v>
      </c>
    </row>
    <row r="32" spans="2:4" ht="20" customHeight="1">
      <c r="B32" s="179" t="s">
        <v>542</v>
      </c>
      <c r="C32" s="290">
        <f>'Tax Computation 10.18'!C12</f>
        <v>0</v>
      </c>
      <c r="D32" s="290">
        <f>-[5]Reco!F22</f>
        <v>0</v>
      </c>
    </row>
    <row r="33" spans="2:4" ht="20" customHeight="1">
      <c r="B33" s="179" t="s">
        <v>543</v>
      </c>
      <c r="C33" s="290">
        <f>'Tax Computation 10.18'!C13</f>
        <v>0</v>
      </c>
      <c r="D33" s="290">
        <f>-[5]Reco!F21</f>
        <v>0</v>
      </c>
    </row>
    <row r="34" spans="2:4" ht="20" customHeight="1">
      <c r="B34" s="179" t="s">
        <v>544</v>
      </c>
      <c r="C34" s="290">
        <v>0</v>
      </c>
      <c r="D34" s="290">
        <v>270000</v>
      </c>
    </row>
    <row r="35" spans="2:4" ht="20" customHeight="1">
      <c r="B35" s="291" t="s">
        <v>545</v>
      </c>
      <c r="C35" s="292">
        <f>'Tax Computation 10.18'!C14</f>
        <v>0</v>
      </c>
      <c r="D35" s="292">
        <v>0</v>
      </c>
    </row>
    <row r="36" spans="2:4" ht="20" customHeight="1">
      <c r="B36" s="293" t="s">
        <v>546</v>
      </c>
      <c r="C36" s="294">
        <f>SUM(C23:C35)</f>
        <v>-33900</v>
      </c>
      <c r="D36" s="294">
        <f>SUM(D23:D35)</f>
        <v>92904</v>
      </c>
    </row>
    <row r="37" spans="2:4" ht="20" customHeight="1" thickBot="1">
      <c r="B37" s="295" t="s">
        <v>547</v>
      </c>
      <c r="C37" s="296">
        <f>C36*25%</f>
        <v>-8475</v>
      </c>
      <c r="D37" s="296">
        <f>D36*25%</f>
        <v>23226</v>
      </c>
    </row>
  </sheetData>
  <mergeCells count="2">
    <mergeCell ref="A1:D1"/>
    <mergeCell ref="A3:D3"/>
  </mergeCells>
  <pageMargins left="0.7" right="0.7" top="0.75" bottom="0.75" header="0.3" footer="0.3"/>
  <pageSetup scale="8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2A05C-504B-4970-AECE-7320DB7C635C}">
  <sheetPr>
    <tabColor rgb="FF00B050"/>
  </sheetPr>
  <dimension ref="A1:A31"/>
  <sheetViews>
    <sheetView showGridLines="0" view="pageBreakPreview" zoomScaleNormal="140" zoomScaleSheetLayoutView="100" workbookViewId="0">
      <selection activeCell="C12" sqref="C12"/>
    </sheetView>
  </sheetViews>
  <sheetFormatPr defaultColWidth="10.81640625" defaultRowHeight="12.5"/>
  <cols>
    <col min="1" max="1" width="103.81640625" style="179" customWidth="1"/>
    <col min="2" max="16384" width="10.81640625" style="179"/>
  </cols>
  <sheetData>
    <row r="1" spans="1:1" ht="17.5">
      <c r="A1" s="178" t="str">
        <f>'[5]3.3'!A1:E1</f>
        <v>CELER MART PVT. LTD.</v>
      </c>
    </row>
    <row r="2" spans="1:1" ht="13.5">
      <c r="A2" s="180"/>
    </row>
    <row r="3" spans="1:1" ht="14">
      <c r="A3" s="181" t="s">
        <v>337</v>
      </c>
    </row>
    <row r="4" spans="1:1" ht="13.5">
      <c r="A4" s="180"/>
    </row>
    <row r="5" spans="1:1" ht="13" thickBot="1">
      <c r="A5" s="182" t="s">
        <v>276</v>
      </c>
    </row>
    <row r="7" spans="1:1">
      <c r="A7" s="186" t="s">
        <v>548</v>
      </c>
    </row>
    <row r="8" spans="1:1" ht="50">
      <c r="A8" s="297" t="s">
        <v>549</v>
      </c>
    </row>
    <row r="9" spans="1:1">
      <c r="A9" s="297"/>
    </row>
    <row r="10" spans="1:1">
      <c r="A10" s="186" t="s">
        <v>550</v>
      </c>
    </row>
    <row r="11" spans="1:1" ht="25">
      <c r="A11" s="297" t="s">
        <v>551</v>
      </c>
    </row>
    <row r="12" spans="1:1">
      <c r="A12" s="297"/>
    </row>
    <row r="13" spans="1:1">
      <c r="A13" s="186" t="s">
        <v>552</v>
      </c>
    </row>
    <row r="14" spans="1:1">
      <c r="A14" s="186" t="s">
        <v>553</v>
      </c>
    </row>
    <row r="15" spans="1:1" ht="37.5">
      <c r="A15" s="297" t="s">
        <v>554</v>
      </c>
    </row>
    <row r="16" spans="1:1">
      <c r="A16" s="179" t="s">
        <v>555</v>
      </c>
    </row>
    <row r="17" spans="1:1" ht="37.5">
      <c r="A17" s="297" t="s">
        <v>556</v>
      </c>
    </row>
    <row r="18" spans="1:1" ht="25">
      <c r="A18" s="297" t="s">
        <v>557</v>
      </c>
    </row>
    <row r="19" spans="1:1">
      <c r="A19" s="297" t="s">
        <v>558</v>
      </c>
    </row>
    <row r="20" spans="1:1" ht="50">
      <c r="A20" s="297" t="s">
        <v>559</v>
      </c>
    </row>
    <row r="21" spans="1:1">
      <c r="A21" s="297"/>
    </row>
    <row r="22" spans="1:1">
      <c r="A22" s="298" t="s">
        <v>560</v>
      </c>
    </row>
    <row r="23" spans="1:1" ht="50">
      <c r="A23" s="297" t="s">
        <v>561</v>
      </c>
    </row>
    <row r="24" spans="1:1" ht="37.5">
      <c r="A24" s="297" t="s">
        <v>562</v>
      </c>
    </row>
    <row r="25" spans="1:1">
      <c r="A25" s="297"/>
    </row>
    <row r="26" spans="1:1">
      <c r="A26" s="298" t="s">
        <v>563</v>
      </c>
    </row>
    <row r="27" spans="1:1" ht="62.5">
      <c r="A27" s="297" t="s">
        <v>564</v>
      </c>
    </row>
    <row r="28" spans="1:1">
      <c r="A28" s="297"/>
    </row>
    <row r="29" spans="1:1">
      <c r="A29" s="297"/>
    </row>
    <row r="30" spans="1:1">
      <c r="A30" s="297"/>
    </row>
    <row r="31" spans="1:1">
      <c r="A31" s="297"/>
    </row>
  </sheetData>
  <pageMargins left="0.7" right="0.7" top="0.75" bottom="0.75" header="0.3" footer="0.3"/>
  <pageSetup scale="9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2D6C-F8CD-4B3E-AC49-D5F56B9AD9BD}">
  <sheetPr>
    <tabColor rgb="FF00B050"/>
  </sheetPr>
  <dimension ref="A1:A127"/>
  <sheetViews>
    <sheetView showGridLines="0" view="pageBreakPreview" topLeftCell="A31" zoomScaleNormal="140" zoomScaleSheetLayoutView="100" workbookViewId="0">
      <selection activeCell="C12" sqref="C12"/>
    </sheetView>
  </sheetViews>
  <sheetFormatPr defaultColWidth="10.81640625" defaultRowHeight="12.5"/>
  <cols>
    <col min="1" max="1" width="101.1796875" style="179" customWidth="1"/>
    <col min="2" max="16384" width="10.81640625" style="179"/>
  </cols>
  <sheetData>
    <row r="1" spans="1:1" ht="17.5">
      <c r="A1" s="178" t="str">
        <f>'[5]3.3'!A1:E1</f>
        <v>CELER MART PVT. LTD.</v>
      </c>
    </row>
    <row r="2" spans="1:1" ht="13.5">
      <c r="A2" s="180"/>
    </row>
    <row r="3" spans="1:1" ht="14">
      <c r="A3" s="181" t="s">
        <v>337</v>
      </c>
    </row>
    <row r="4" spans="1:1" ht="20" customHeight="1">
      <c r="A4" s="180"/>
    </row>
    <row r="5" spans="1:1" ht="20" customHeight="1" thickBot="1">
      <c r="A5" s="182" t="s">
        <v>276</v>
      </c>
    </row>
    <row r="6" spans="1:1" ht="20" customHeight="1"/>
    <row r="7" spans="1:1" ht="20" customHeight="1">
      <c r="A7" s="183" t="s">
        <v>338</v>
      </c>
    </row>
    <row r="8" spans="1:1" ht="20" customHeight="1"/>
    <row r="9" spans="1:1" ht="20" customHeight="1">
      <c r="A9" s="184" t="s">
        <v>339</v>
      </c>
    </row>
    <row r="10" spans="1:1" ht="20" customHeight="1">
      <c r="A10" s="185" t="s">
        <v>340</v>
      </c>
    </row>
    <row r="11" spans="1:1" ht="20" customHeight="1">
      <c r="A11" s="179" t="s">
        <v>341</v>
      </c>
    </row>
    <row r="12" spans="1:1" ht="20" customHeight="1"/>
    <row r="13" spans="1:1" ht="20" customHeight="1">
      <c r="A13" s="186" t="s">
        <v>342</v>
      </c>
    </row>
    <row r="14" spans="1:1" ht="20" customHeight="1">
      <c r="A14" s="184" t="s">
        <v>343</v>
      </c>
    </row>
    <row r="15" spans="1:1" ht="20" customHeight="1">
      <c r="A15" s="187" t="s">
        <v>344</v>
      </c>
    </row>
    <row r="16" spans="1:1" ht="30" customHeight="1">
      <c r="A16" s="185" t="s">
        <v>345</v>
      </c>
    </row>
    <row r="17" spans="1:1" ht="20" customHeight="1">
      <c r="A17" s="187" t="s">
        <v>346</v>
      </c>
    </row>
    <row r="18" spans="1:1" ht="25" customHeight="1">
      <c r="A18" s="185" t="s">
        <v>347</v>
      </c>
    </row>
    <row r="19" spans="1:1" ht="20" customHeight="1">
      <c r="A19" s="187" t="s">
        <v>348</v>
      </c>
    </row>
    <row r="20" spans="1:1" ht="25" customHeight="1">
      <c r="A20" s="185" t="s">
        <v>349</v>
      </c>
    </row>
    <row r="21" spans="1:1" ht="20" customHeight="1">
      <c r="A21" s="185"/>
    </row>
    <row r="22" spans="1:1" ht="20" customHeight="1">
      <c r="A22" s="187" t="s">
        <v>350</v>
      </c>
    </row>
    <row r="23" spans="1:1" ht="50" customHeight="1">
      <c r="A23" s="185" t="s">
        <v>351</v>
      </c>
    </row>
    <row r="24" spans="1:1" ht="20" customHeight="1">
      <c r="A24" s="185"/>
    </row>
    <row r="25" spans="1:1" ht="20" customHeight="1">
      <c r="A25" s="187" t="s">
        <v>352</v>
      </c>
    </row>
    <row r="26" spans="1:1" ht="30" customHeight="1">
      <c r="A26" s="185" t="s">
        <v>353</v>
      </c>
    </row>
    <row r="27" spans="1:1" ht="20" customHeight="1">
      <c r="A27" s="185"/>
    </row>
    <row r="28" spans="1:1" ht="20" customHeight="1">
      <c r="A28" s="187" t="s">
        <v>354</v>
      </c>
    </row>
    <row r="29" spans="1:1" ht="35" customHeight="1">
      <c r="A29" s="185" t="s">
        <v>355</v>
      </c>
    </row>
    <row r="30" spans="1:1" ht="35" customHeight="1">
      <c r="A30" s="185" t="s">
        <v>356</v>
      </c>
    </row>
    <row r="31" spans="1:1" ht="20" customHeight="1">
      <c r="A31" s="185"/>
    </row>
    <row r="32" spans="1:1" ht="20" customHeight="1">
      <c r="A32" s="187" t="s">
        <v>357</v>
      </c>
    </row>
    <row r="33" spans="1:1" ht="65" customHeight="1">
      <c r="A33" s="185" t="s">
        <v>358</v>
      </c>
    </row>
    <row r="34" spans="1:1" ht="20" customHeight="1">
      <c r="A34" s="185"/>
    </row>
    <row r="35" spans="1:1" ht="20" customHeight="1">
      <c r="A35" s="187" t="s">
        <v>359</v>
      </c>
    </row>
    <row r="36" spans="1:1" ht="40" customHeight="1">
      <c r="A36" s="185" t="s">
        <v>360</v>
      </c>
    </row>
    <row r="37" spans="1:1" ht="20" customHeight="1">
      <c r="A37" s="185"/>
    </row>
    <row r="38" spans="1:1" ht="20" customHeight="1">
      <c r="A38" s="187" t="s">
        <v>361</v>
      </c>
    </row>
    <row r="39" spans="1:1" ht="35" customHeight="1">
      <c r="A39" s="185" t="s">
        <v>362</v>
      </c>
    </row>
    <row r="40" spans="1:1" ht="35" customHeight="1">
      <c r="A40" s="185" t="s">
        <v>363</v>
      </c>
    </row>
    <row r="41" spans="1:1" ht="20" customHeight="1">
      <c r="A41" s="185"/>
    </row>
    <row r="42" spans="1:1" ht="20" customHeight="1">
      <c r="A42" s="187" t="s">
        <v>364</v>
      </c>
    </row>
    <row r="43" spans="1:1" ht="35" customHeight="1">
      <c r="A43" s="185" t="s">
        <v>365</v>
      </c>
    </row>
    <row r="44" spans="1:1" ht="35" customHeight="1">
      <c r="A44" s="185"/>
    </row>
    <row r="45" spans="1:1" ht="35" customHeight="1">
      <c r="A45" s="187" t="s">
        <v>366</v>
      </c>
    </row>
    <row r="46" spans="1:1" ht="35" customHeight="1">
      <c r="A46" s="187" t="s">
        <v>367</v>
      </c>
    </row>
    <row r="47" spans="1:1" ht="35" customHeight="1">
      <c r="A47" s="185" t="s">
        <v>368</v>
      </c>
    </row>
    <row r="48" spans="1:1" ht="35" customHeight="1">
      <c r="A48" s="187" t="s">
        <v>369</v>
      </c>
    </row>
    <row r="49" spans="1:1" ht="35" customHeight="1">
      <c r="A49" s="185" t="s">
        <v>370</v>
      </c>
    </row>
    <row r="50" spans="1:1" ht="20" customHeight="1">
      <c r="A50" s="185"/>
    </row>
    <row r="51" spans="1:1" ht="20" customHeight="1">
      <c r="A51" s="187" t="s">
        <v>371</v>
      </c>
    </row>
    <row r="52" spans="1:1" ht="35" customHeight="1">
      <c r="A52" s="185" t="s">
        <v>372</v>
      </c>
    </row>
    <row r="53" spans="1:1" ht="35" customHeight="1">
      <c r="A53" s="187" t="s">
        <v>373</v>
      </c>
    </row>
    <row r="54" spans="1:1" ht="35" customHeight="1">
      <c r="A54" s="185" t="s">
        <v>374</v>
      </c>
    </row>
    <row r="55" spans="1:1" ht="35" customHeight="1">
      <c r="A55" s="185" t="s">
        <v>375</v>
      </c>
    </row>
    <row r="56" spans="1:1" ht="35" customHeight="1">
      <c r="A56" s="185"/>
    </row>
    <row r="57" spans="1:1" ht="35" customHeight="1">
      <c r="A57" s="187" t="s">
        <v>376</v>
      </c>
    </row>
    <row r="58" spans="1:1" ht="35" customHeight="1">
      <c r="A58" s="185" t="s">
        <v>377</v>
      </c>
    </row>
    <row r="59" spans="1:1" ht="35" customHeight="1">
      <c r="A59" s="187" t="s">
        <v>378</v>
      </c>
    </row>
    <row r="60" spans="1:1" ht="35" customHeight="1">
      <c r="A60" s="185" t="s">
        <v>379</v>
      </c>
    </row>
    <row r="61" spans="1:1" ht="60" customHeight="1">
      <c r="A61" s="185" t="s">
        <v>380</v>
      </c>
    </row>
    <row r="62" spans="1:1" ht="35" customHeight="1">
      <c r="A62" s="187" t="s">
        <v>381</v>
      </c>
    </row>
    <row r="63" spans="1:1" ht="35" customHeight="1">
      <c r="A63" s="185" t="s">
        <v>382</v>
      </c>
    </row>
    <row r="64" spans="1:1" ht="35" customHeight="1">
      <c r="A64" s="185"/>
    </row>
    <row r="65" spans="1:1" ht="20" customHeight="1">
      <c r="A65" s="187" t="s">
        <v>383</v>
      </c>
    </row>
    <row r="66" spans="1:1" ht="20" customHeight="1">
      <c r="A66" s="187" t="s">
        <v>384</v>
      </c>
    </row>
    <row r="67" spans="1:1" ht="40" customHeight="1">
      <c r="A67" s="185" t="s">
        <v>385</v>
      </c>
    </row>
    <row r="68" spans="1:1" ht="35" customHeight="1">
      <c r="A68" s="187" t="s">
        <v>386</v>
      </c>
    </row>
    <row r="69" spans="1:1" ht="50" customHeight="1">
      <c r="A69" s="185" t="s">
        <v>387</v>
      </c>
    </row>
    <row r="70" spans="1:1" ht="20" customHeight="1">
      <c r="A70" s="185"/>
    </row>
    <row r="71" spans="1:1" ht="20" customHeight="1">
      <c r="A71" s="187" t="s">
        <v>388</v>
      </c>
    </row>
    <row r="72" spans="1:1" ht="50" customHeight="1">
      <c r="A72" s="185" t="s">
        <v>389</v>
      </c>
    </row>
    <row r="73" spans="1:1" ht="50" customHeight="1">
      <c r="A73" s="185" t="s">
        <v>390</v>
      </c>
    </row>
    <row r="74" spans="1:1" ht="20" customHeight="1">
      <c r="A74" s="185"/>
    </row>
    <row r="75" spans="1:1" ht="20" customHeight="1">
      <c r="A75" s="187" t="s">
        <v>391</v>
      </c>
    </row>
    <row r="76" spans="1:1" ht="70" customHeight="1">
      <c r="A76" s="185" t="s">
        <v>392</v>
      </c>
    </row>
    <row r="77" spans="1:1" ht="20" customHeight="1">
      <c r="A77" s="185"/>
    </row>
    <row r="78" spans="1:1" ht="20" customHeight="1">
      <c r="A78" s="187" t="s">
        <v>393</v>
      </c>
    </row>
    <row r="79" spans="1:1" ht="20" customHeight="1">
      <c r="A79" s="185" t="s">
        <v>394</v>
      </c>
    </row>
    <row r="80" spans="1:1" ht="20" customHeight="1">
      <c r="A80" s="185"/>
    </row>
    <row r="81" spans="1:1" ht="20" customHeight="1">
      <c r="A81" s="187" t="s">
        <v>395</v>
      </c>
    </row>
    <row r="82" spans="1:1" ht="35" customHeight="1">
      <c r="A82" s="185" t="s">
        <v>396</v>
      </c>
    </row>
    <row r="83" spans="1:1" ht="20" customHeight="1">
      <c r="A83" s="185"/>
    </row>
    <row r="84" spans="1:1" ht="20" customHeight="1">
      <c r="A84" s="187" t="s">
        <v>397</v>
      </c>
    </row>
    <row r="85" spans="1:1" ht="20" customHeight="1">
      <c r="A85" s="187" t="s">
        <v>398</v>
      </c>
    </row>
    <row r="86" spans="1:1" ht="40" customHeight="1">
      <c r="A86" s="185" t="s">
        <v>399</v>
      </c>
    </row>
    <row r="87" spans="1:1" ht="20" customHeight="1">
      <c r="A87" s="187" t="s">
        <v>400</v>
      </c>
    </row>
    <row r="88" spans="1:1" ht="20" customHeight="1">
      <c r="A88" s="185" t="s">
        <v>401</v>
      </c>
    </row>
    <row r="89" spans="1:1" ht="20" customHeight="1">
      <c r="A89" s="187" t="s">
        <v>402</v>
      </c>
    </row>
    <row r="90" spans="1:1" ht="20" customHeight="1">
      <c r="A90" s="185" t="s">
        <v>403</v>
      </c>
    </row>
    <row r="91" spans="1:1" ht="20" customHeight="1">
      <c r="A91" s="185"/>
    </row>
    <row r="92" spans="1:1" ht="20" customHeight="1">
      <c r="A92" s="187" t="s">
        <v>404</v>
      </c>
    </row>
    <row r="93" spans="1:1" ht="20" customHeight="1">
      <c r="A93" s="187" t="s">
        <v>405</v>
      </c>
    </row>
    <row r="94" spans="1:1" ht="40" customHeight="1">
      <c r="A94" s="185" t="s">
        <v>406</v>
      </c>
    </row>
    <row r="95" spans="1:1" ht="20" customHeight="1">
      <c r="A95" s="187" t="s">
        <v>407</v>
      </c>
    </row>
    <row r="96" spans="1:1" ht="20" customHeight="1">
      <c r="A96" s="185" t="s">
        <v>408</v>
      </c>
    </row>
    <row r="97" spans="1:1">
      <c r="A97" s="185"/>
    </row>
    <row r="98" spans="1:1" s="186" customFormat="1">
      <c r="A98" s="185"/>
    </row>
    <row r="99" spans="1:1">
      <c r="A99" s="184"/>
    </row>
    <row r="100" spans="1:1">
      <c r="A100" s="185"/>
    </row>
    <row r="102" spans="1:1">
      <c r="A102" s="184"/>
    </row>
    <row r="103" spans="1:1">
      <c r="A103" s="188"/>
    </row>
    <row r="105" spans="1:1">
      <c r="A105" s="185"/>
    </row>
    <row r="106" spans="1:1">
      <c r="A106" s="184"/>
    </row>
    <row r="107" spans="1:1">
      <c r="A107" s="185"/>
    </row>
    <row r="108" spans="1:1">
      <c r="A108" s="185"/>
    </row>
    <row r="109" spans="1:1">
      <c r="A109" s="184"/>
    </row>
    <row r="110" spans="1:1">
      <c r="A110" s="185"/>
    </row>
    <row r="111" spans="1:1">
      <c r="A111" s="185"/>
    </row>
    <row r="112" spans="1:1">
      <c r="A112" s="184"/>
    </row>
    <row r="113" spans="1:1">
      <c r="A113" s="185"/>
    </row>
    <row r="114" spans="1:1">
      <c r="A114" s="185"/>
    </row>
    <row r="115" spans="1:1">
      <c r="A115" s="184"/>
    </row>
    <row r="116" spans="1:1">
      <c r="A116" s="185"/>
    </row>
    <row r="117" spans="1:1">
      <c r="A117" s="185"/>
    </row>
    <row r="118" spans="1:1">
      <c r="A118" s="185"/>
    </row>
    <row r="119" spans="1:1">
      <c r="A119" s="184"/>
    </row>
    <row r="120" spans="1:1">
      <c r="A120" s="185"/>
    </row>
    <row r="121" spans="1:1">
      <c r="A121" s="185"/>
    </row>
    <row r="122" spans="1:1">
      <c r="A122" s="184"/>
    </row>
    <row r="123" spans="1:1">
      <c r="A123" s="184"/>
    </row>
    <row r="124" spans="1:1">
      <c r="A124" s="185"/>
    </row>
    <row r="125" spans="1:1">
      <c r="A125" s="185"/>
    </row>
    <row r="126" spans="1:1">
      <c r="A126" s="184"/>
    </row>
    <row r="127" spans="1:1">
      <c r="A127" s="185"/>
    </row>
  </sheetData>
  <pageMargins left="0.7" right="0.7" top="0.75" bottom="0.75" header="0.3" footer="0.3"/>
  <pageSetup scale="89" orientation="portrait" r:id="rId1"/>
  <rowBreaks count="3" manualBreakCount="3">
    <brk id="31" max="16383" man="1"/>
    <brk id="41" max="16383" man="1"/>
    <brk id="6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C0D54-2C8B-4CDE-B44D-37A5D344D607}">
  <sheetPr>
    <tabColor rgb="FF00B050"/>
  </sheetPr>
  <dimension ref="A1:E25"/>
  <sheetViews>
    <sheetView showGridLines="0" view="pageBreakPreview" zoomScale="92" zoomScaleNormal="100" zoomScaleSheetLayoutView="92" workbookViewId="0">
      <selection activeCell="J11" sqref="J11"/>
    </sheetView>
  </sheetViews>
  <sheetFormatPr defaultColWidth="8.81640625" defaultRowHeight="13.5"/>
  <cols>
    <col min="1" max="1" width="36.6328125" style="180" bestFit="1" customWidth="1"/>
    <col min="2" max="2" width="8.81640625" style="180"/>
    <col min="3" max="3" width="14.81640625" style="180" bestFit="1" customWidth="1"/>
    <col min="4" max="16384" width="8.81640625" style="180"/>
  </cols>
  <sheetData>
    <row r="1" spans="1:5" ht="20" customHeight="1">
      <c r="A1" s="330" t="s">
        <v>565</v>
      </c>
      <c r="B1" s="330"/>
      <c r="C1" s="330"/>
      <c r="D1" s="330"/>
      <c r="E1" s="330"/>
    </row>
    <row r="2" spans="1:5" ht="20" customHeight="1"/>
    <row r="3" spans="1:5" ht="20" customHeight="1">
      <c r="A3" s="299" t="s">
        <v>533</v>
      </c>
      <c r="B3" s="299"/>
      <c r="C3" s="300">
        <f>'SOI 10.18'!C19</f>
        <v>-164485.25</v>
      </c>
    </row>
    <row r="4" spans="1:5" ht="20" customHeight="1">
      <c r="A4" s="180" t="s">
        <v>534</v>
      </c>
      <c r="C4" s="241">
        <f>'SOI 10.18'!C17</f>
        <v>130585.25</v>
      </c>
    </row>
    <row r="5" spans="1:5" ht="20" customHeight="1">
      <c r="A5" s="180" t="s">
        <v>535</v>
      </c>
      <c r="C5" s="241">
        <v>0</v>
      </c>
    </row>
    <row r="6" spans="1:5" ht="20" customHeight="1">
      <c r="A6" s="180" t="s">
        <v>536</v>
      </c>
      <c r="C6" s="241"/>
    </row>
    <row r="7" spans="1:5" ht="20" customHeight="1">
      <c r="A7" s="180" t="s">
        <v>537</v>
      </c>
      <c r="C7" s="241"/>
    </row>
    <row r="8" spans="1:5" ht="20" customHeight="1">
      <c r="A8" s="180" t="s">
        <v>538</v>
      </c>
      <c r="C8" s="241"/>
    </row>
    <row r="9" spans="1:5" ht="20" customHeight="1">
      <c r="A9" s="180" t="s">
        <v>539</v>
      </c>
      <c r="C9" s="241"/>
    </row>
    <row r="10" spans="1:5" ht="20" customHeight="1">
      <c r="A10" s="180" t="s">
        <v>540</v>
      </c>
      <c r="C10" s="241"/>
    </row>
    <row r="11" spans="1:5" ht="20" customHeight="1">
      <c r="A11" s="180" t="s">
        <v>541</v>
      </c>
      <c r="C11" s="241"/>
    </row>
    <row r="12" spans="1:5" ht="20" customHeight="1">
      <c r="A12" s="180" t="s">
        <v>566</v>
      </c>
      <c r="C12" s="241"/>
    </row>
    <row r="13" spans="1:5" ht="20" customHeight="1">
      <c r="A13" s="180" t="s">
        <v>567</v>
      </c>
      <c r="C13" s="241"/>
    </row>
    <row r="14" spans="1:5" ht="20" customHeight="1">
      <c r="A14" s="301" t="s">
        <v>545</v>
      </c>
      <c r="B14" s="301"/>
      <c r="C14" s="302"/>
    </row>
    <row r="15" spans="1:5" ht="20" customHeight="1">
      <c r="A15" s="303" t="s">
        <v>546</v>
      </c>
      <c r="B15" s="303"/>
      <c r="C15" s="304">
        <f>SUM(C3:C14)</f>
        <v>-33900</v>
      </c>
    </row>
    <row r="16" spans="1:5" ht="20" customHeight="1" thickBot="1">
      <c r="A16" s="305" t="s">
        <v>547</v>
      </c>
      <c r="B16" s="305"/>
      <c r="C16" s="306">
        <v>0</v>
      </c>
    </row>
    <row r="17" spans="3:3">
      <c r="C17" s="241"/>
    </row>
    <row r="18" spans="3:3">
      <c r="C18" s="241"/>
    </row>
    <row r="19" spans="3:3">
      <c r="C19" s="241"/>
    </row>
    <row r="20" spans="3:3">
      <c r="C20" s="241"/>
    </row>
    <row r="21" spans="3:3">
      <c r="C21" s="241"/>
    </row>
    <row r="22" spans="3:3">
      <c r="C22" s="241"/>
    </row>
    <row r="23" spans="3:3">
      <c r="C23" s="241"/>
    </row>
    <row r="24" spans="3:3">
      <c r="C24" s="241"/>
    </row>
    <row r="25" spans="3:3">
      <c r="C25" s="241"/>
    </row>
  </sheetData>
  <mergeCells count="1">
    <mergeCell ref="A1:E1"/>
  </mergeCells>
  <pageMargins left="0.7" right="0.7" top="0.75" bottom="0.75" header="0.3" footer="0.3"/>
  <pageSetup paperSize="9" scale="138"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0CAA-4CA9-43F8-9123-E44C9D444A5E}">
  <dimension ref="A1:D213"/>
  <sheetViews>
    <sheetView tabSelected="1" topLeftCell="A189" workbookViewId="0">
      <selection activeCell="B199" sqref="B199"/>
    </sheetView>
  </sheetViews>
  <sheetFormatPr defaultRowHeight="14.5"/>
  <cols>
    <col min="1" max="1" width="9.90625" bestFit="1" customWidth="1"/>
    <col min="2" max="2" width="41.6328125" bestFit="1" customWidth="1"/>
    <col min="3" max="4" width="13.81640625" bestFit="1" customWidth="1"/>
  </cols>
  <sheetData>
    <row r="1" spans="1:4">
      <c r="A1" s="1" t="s">
        <v>0</v>
      </c>
      <c r="B1" s="1" t="s">
        <v>1</v>
      </c>
      <c r="C1" s="1" t="s">
        <v>2</v>
      </c>
      <c r="D1" s="1" t="s">
        <v>3</v>
      </c>
    </row>
    <row r="2" spans="1:4">
      <c r="A2" s="2" t="s">
        <v>4</v>
      </c>
      <c r="B2" s="2" t="s">
        <v>5</v>
      </c>
      <c r="C2" s="3">
        <v>820000</v>
      </c>
      <c r="D2" s="3"/>
    </row>
    <row r="3" spans="1:4">
      <c r="A3" s="2" t="s">
        <v>4</v>
      </c>
      <c r="B3" s="2" t="s">
        <v>6</v>
      </c>
      <c r="C3" s="3"/>
      <c r="D3" s="3">
        <f>+C2</f>
        <v>820000</v>
      </c>
    </row>
    <row r="4" spans="1:4">
      <c r="A4" s="2" t="s">
        <v>7</v>
      </c>
      <c r="B4" s="2" t="s">
        <v>6</v>
      </c>
      <c r="C4" s="3">
        <v>220000</v>
      </c>
      <c r="D4" s="3"/>
    </row>
    <row r="5" spans="1:4">
      <c r="A5" s="2" t="s">
        <v>7</v>
      </c>
      <c r="B5" s="2" t="s">
        <v>5</v>
      </c>
      <c r="C5" s="3"/>
      <c r="D5" s="3">
        <f>+C4</f>
        <v>220000</v>
      </c>
    </row>
    <row r="6" spans="1:4">
      <c r="A6" s="2" t="s">
        <v>8</v>
      </c>
      <c r="B6" s="2" t="s">
        <v>6</v>
      </c>
      <c r="C6" s="3">
        <v>780000</v>
      </c>
      <c r="D6" s="3"/>
    </row>
    <row r="7" spans="1:4">
      <c r="A7" s="2" t="s">
        <v>8</v>
      </c>
      <c r="B7" s="2" t="s">
        <v>9</v>
      </c>
      <c r="C7" s="3"/>
      <c r="D7" s="3">
        <f>+C6</f>
        <v>780000</v>
      </c>
    </row>
    <row r="8" spans="1:4">
      <c r="A8" s="2" t="s">
        <v>10</v>
      </c>
      <c r="B8" s="2" t="s">
        <v>11</v>
      </c>
      <c r="C8" s="3">
        <v>25000</v>
      </c>
      <c r="D8" s="3"/>
    </row>
    <row r="9" spans="1:4">
      <c r="A9" s="2" t="s">
        <v>10</v>
      </c>
      <c r="B9" s="2" t="s">
        <v>6</v>
      </c>
      <c r="C9" s="3"/>
      <c r="D9" s="3">
        <v>25000</v>
      </c>
    </row>
    <row r="10" spans="1:4">
      <c r="A10" s="2" t="s">
        <v>10</v>
      </c>
      <c r="B10" s="2" t="s">
        <v>12</v>
      </c>
      <c r="C10" s="3">
        <v>1000000</v>
      </c>
      <c r="D10" s="3"/>
    </row>
    <row r="11" spans="1:4">
      <c r="A11" s="2" t="s">
        <v>10</v>
      </c>
      <c r="B11" s="2" t="s">
        <v>6</v>
      </c>
      <c r="C11" s="3"/>
      <c r="D11" s="3">
        <f>+C10</f>
        <v>1000000</v>
      </c>
    </row>
    <row r="12" spans="1:4">
      <c r="A12" s="2" t="s">
        <v>13</v>
      </c>
      <c r="B12" s="2" t="s">
        <v>6</v>
      </c>
      <c r="C12" s="3">
        <v>700000</v>
      </c>
      <c r="D12" s="3"/>
    </row>
    <row r="13" spans="1:4">
      <c r="A13" s="2" t="s">
        <v>13</v>
      </c>
      <c r="B13" s="2" t="s">
        <v>14</v>
      </c>
      <c r="C13" s="3"/>
      <c r="D13" s="3">
        <f>+C12</f>
        <v>700000</v>
      </c>
    </row>
    <row r="14" spans="1:4">
      <c r="A14" s="2" t="s">
        <v>15</v>
      </c>
      <c r="B14" s="2" t="s">
        <v>16</v>
      </c>
      <c r="C14" s="3">
        <v>25000</v>
      </c>
      <c r="D14" s="3"/>
    </row>
    <row r="15" spans="1:4">
      <c r="A15" s="2" t="s">
        <v>15</v>
      </c>
      <c r="B15" s="2" t="s">
        <v>17</v>
      </c>
      <c r="C15" s="3">
        <v>25000</v>
      </c>
      <c r="D15" s="3"/>
    </row>
    <row r="16" spans="1:4">
      <c r="A16" s="2" t="s">
        <v>15</v>
      </c>
      <c r="B16" s="2" t="s">
        <v>18</v>
      </c>
      <c r="C16" s="3">
        <v>15000</v>
      </c>
      <c r="D16" s="3"/>
    </row>
    <row r="17" spans="1:4">
      <c r="A17" s="2" t="s">
        <v>15</v>
      </c>
      <c r="B17" s="2" t="s">
        <v>19</v>
      </c>
      <c r="C17" s="3">
        <v>20000</v>
      </c>
      <c r="D17" s="3"/>
    </row>
    <row r="18" spans="1:4">
      <c r="A18" s="2" t="s">
        <v>15</v>
      </c>
      <c r="B18" s="2" t="s">
        <v>20</v>
      </c>
      <c r="C18" s="3"/>
      <c r="D18" s="3">
        <v>850</v>
      </c>
    </row>
    <row r="19" spans="1:4">
      <c r="A19" s="2" t="s">
        <v>15</v>
      </c>
      <c r="B19" s="2" t="s">
        <v>6</v>
      </c>
      <c r="C19" s="3"/>
      <c r="D19" s="3">
        <f>+C14+C15+C16+C17-D18</f>
        <v>84150</v>
      </c>
    </row>
    <row r="20" spans="1:4">
      <c r="A20" s="2" t="s">
        <v>21</v>
      </c>
      <c r="B20" s="2" t="s">
        <v>11</v>
      </c>
      <c r="C20" s="3">
        <v>50000</v>
      </c>
      <c r="D20" s="3"/>
    </row>
    <row r="21" spans="1:4">
      <c r="A21" s="2" t="s">
        <v>21</v>
      </c>
      <c r="B21" s="2" t="s">
        <v>6</v>
      </c>
      <c r="C21" s="3"/>
      <c r="D21" s="3">
        <f>+C20</f>
        <v>50000</v>
      </c>
    </row>
    <row r="22" spans="1:4">
      <c r="A22" s="2" t="s">
        <v>21</v>
      </c>
      <c r="B22" s="2" t="s">
        <v>9</v>
      </c>
      <c r="C22" s="3">
        <v>100000</v>
      </c>
      <c r="D22" s="3"/>
    </row>
    <row r="23" spans="1:4">
      <c r="A23" s="2" t="s">
        <v>21</v>
      </c>
      <c r="B23" s="2" t="s">
        <v>6</v>
      </c>
      <c r="C23" s="3"/>
      <c r="D23" s="3">
        <f>+C22</f>
        <v>100000</v>
      </c>
    </row>
    <row r="24" spans="1:4">
      <c r="A24" s="2" t="s">
        <v>21</v>
      </c>
      <c r="B24" s="2" t="s">
        <v>9</v>
      </c>
      <c r="C24" s="3">
        <v>160000</v>
      </c>
      <c r="D24" s="3"/>
    </row>
    <row r="25" spans="1:4">
      <c r="A25" s="2" t="s">
        <v>21</v>
      </c>
      <c r="B25" s="2" t="s">
        <v>6</v>
      </c>
      <c r="C25" s="3"/>
      <c r="D25" s="3">
        <f>+C24</f>
        <v>160000</v>
      </c>
    </row>
    <row r="26" spans="1:4">
      <c r="A26" s="2" t="s">
        <v>22</v>
      </c>
      <c r="B26" s="2" t="s">
        <v>23</v>
      </c>
      <c r="C26" s="3">
        <f>3475+3000</f>
        <v>6475</v>
      </c>
      <c r="D26" s="3"/>
    </row>
    <row r="27" spans="1:4">
      <c r="A27" s="2" t="s">
        <v>22</v>
      </c>
      <c r="B27" s="2" t="s">
        <v>24</v>
      </c>
      <c r="C27" s="3">
        <v>1030</v>
      </c>
      <c r="D27" s="3"/>
    </row>
    <row r="28" spans="1:4">
      <c r="A28" s="2" t="s">
        <v>22</v>
      </c>
      <c r="B28" s="2" t="s">
        <v>25</v>
      </c>
      <c r="C28" s="3">
        <v>760</v>
      </c>
      <c r="D28" s="3"/>
    </row>
    <row r="29" spans="1:4">
      <c r="A29" s="2" t="s">
        <v>22</v>
      </c>
      <c r="B29" s="2" t="s">
        <v>26</v>
      </c>
      <c r="C29" s="3">
        <v>4000</v>
      </c>
      <c r="D29" s="2"/>
    </row>
    <row r="30" spans="1:4">
      <c r="A30" s="2" t="s">
        <v>22</v>
      </c>
      <c r="B30" s="2" t="s">
        <v>27</v>
      </c>
      <c r="C30" s="3">
        <v>3090</v>
      </c>
      <c r="D30" s="2"/>
    </row>
    <row r="31" spans="1:4">
      <c r="A31" s="2" t="s">
        <v>22</v>
      </c>
      <c r="B31" s="2" t="s">
        <v>28</v>
      </c>
      <c r="C31" s="2"/>
      <c r="D31" s="4">
        <f>SUM(C26:C30)</f>
        <v>15355</v>
      </c>
    </row>
    <row r="32" spans="1:4">
      <c r="A32" s="2" t="s">
        <v>29</v>
      </c>
      <c r="B32" s="2" t="s">
        <v>28</v>
      </c>
      <c r="C32" s="3">
        <v>10000</v>
      </c>
      <c r="D32" s="3"/>
    </row>
    <row r="33" spans="1:4">
      <c r="A33" s="2" t="s">
        <v>29</v>
      </c>
      <c r="B33" s="2" t="s">
        <v>6</v>
      </c>
      <c r="C33" s="3"/>
      <c r="D33" s="3">
        <v>10000</v>
      </c>
    </row>
    <row r="34" spans="1:4">
      <c r="A34" s="2" t="s">
        <v>29</v>
      </c>
      <c r="B34" s="2" t="s">
        <v>11</v>
      </c>
      <c r="C34" s="3">
        <v>100000</v>
      </c>
      <c r="D34" s="3"/>
    </row>
    <row r="35" spans="1:4">
      <c r="A35" s="2" t="s">
        <v>29</v>
      </c>
      <c r="B35" s="2" t="s">
        <v>6</v>
      </c>
      <c r="C35" s="3"/>
      <c r="D35" s="3">
        <f>+C34</f>
        <v>100000</v>
      </c>
    </row>
    <row r="36" spans="1:4">
      <c r="A36" s="2" t="s">
        <v>30</v>
      </c>
      <c r="B36" s="2" t="s">
        <v>6</v>
      </c>
      <c r="C36" s="3">
        <v>40000</v>
      </c>
      <c r="D36" s="3"/>
    </row>
    <row r="37" spans="1:4">
      <c r="A37" s="2" t="s">
        <v>30</v>
      </c>
      <c r="B37" s="2" t="s">
        <v>31</v>
      </c>
      <c r="C37" s="3"/>
      <c r="D37" s="3">
        <f>+C36</f>
        <v>40000</v>
      </c>
    </row>
    <row r="38" spans="1:4">
      <c r="A38" s="2" t="s">
        <v>30</v>
      </c>
      <c r="B38" s="2" t="s">
        <v>6</v>
      </c>
      <c r="C38" s="3">
        <v>25000</v>
      </c>
      <c r="D38" s="3"/>
    </row>
    <row r="39" spans="1:4">
      <c r="A39" s="2" t="s">
        <v>30</v>
      </c>
      <c r="B39" s="2" t="s">
        <v>32</v>
      </c>
      <c r="C39" s="3"/>
      <c r="D39" s="3">
        <f>+C38</f>
        <v>25000</v>
      </c>
    </row>
    <row r="40" spans="1:4">
      <c r="A40" s="2" t="s">
        <v>30</v>
      </c>
      <c r="B40" s="5" t="s">
        <v>33</v>
      </c>
      <c r="C40" s="3">
        <v>264812.5</v>
      </c>
      <c r="D40" s="3"/>
    </row>
    <row r="41" spans="1:4">
      <c r="A41" s="2" t="s">
        <v>30</v>
      </c>
      <c r="B41" s="2" t="s">
        <v>6</v>
      </c>
      <c r="C41" s="3"/>
      <c r="D41" s="3">
        <f>+C40</f>
        <v>264812.5</v>
      </c>
    </row>
    <row r="42" spans="1:4">
      <c r="A42" s="2" t="s">
        <v>30</v>
      </c>
      <c r="B42" s="2" t="s">
        <v>34</v>
      </c>
      <c r="C42" s="3">
        <v>0</v>
      </c>
      <c r="D42" s="3"/>
    </row>
    <row r="43" spans="1:4">
      <c r="A43" s="2" t="s">
        <v>30</v>
      </c>
      <c r="B43" s="2" t="s">
        <v>35</v>
      </c>
      <c r="C43" s="3"/>
      <c r="D43" s="3">
        <f>+C42/1.13*1.5%</f>
        <v>0</v>
      </c>
    </row>
    <row r="44" spans="1:4">
      <c r="A44" s="2" t="s">
        <v>30</v>
      </c>
      <c r="B44" s="5" t="s">
        <v>33</v>
      </c>
      <c r="C44" s="3"/>
      <c r="D44" s="3">
        <f>+C42-D43</f>
        <v>0</v>
      </c>
    </row>
    <row r="45" spans="1:4">
      <c r="A45" s="2" t="s">
        <v>36</v>
      </c>
      <c r="B45" s="2" t="s">
        <v>6</v>
      </c>
      <c r="C45" s="3">
        <v>200000</v>
      </c>
      <c r="D45" s="3"/>
    </row>
    <row r="46" spans="1:4">
      <c r="A46" s="2" t="s">
        <v>36</v>
      </c>
      <c r="B46" s="2" t="s">
        <v>37</v>
      </c>
      <c r="C46" s="3"/>
      <c r="D46" s="3">
        <v>200000</v>
      </c>
    </row>
    <row r="47" spans="1:4">
      <c r="A47" s="2" t="s">
        <v>38</v>
      </c>
      <c r="B47" s="2" t="s">
        <v>39</v>
      </c>
      <c r="C47" s="3">
        <v>160000</v>
      </c>
      <c r="D47" s="3"/>
    </row>
    <row r="48" spans="1:4">
      <c r="A48" s="2" t="s">
        <v>38</v>
      </c>
      <c r="B48" s="2" t="s">
        <v>6</v>
      </c>
      <c r="C48" s="3"/>
      <c r="D48" s="3">
        <f>+C47</f>
        <v>160000</v>
      </c>
    </row>
    <row r="49" spans="1:4">
      <c r="A49" s="2" t="s">
        <v>38</v>
      </c>
      <c r="B49" s="2" t="s">
        <v>40</v>
      </c>
      <c r="C49" s="3">
        <v>40000</v>
      </c>
      <c r="D49" s="3"/>
    </row>
    <row r="50" spans="1:4">
      <c r="A50" s="2" t="s">
        <v>38</v>
      </c>
      <c r="B50" s="2" t="s">
        <v>6</v>
      </c>
      <c r="C50" s="3"/>
      <c r="D50" s="3">
        <f>+C49</f>
        <v>40000</v>
      </c>
    </row>
    <row r="51" spans="1:4">
      <c r="A51" s="2" t="s">
        <v>41</v>
      </c>
      <c r="B51" s="2" t="s">
        <v>6</v>
      </c>
      <c r="C51" s="3">
        <v>500000</v>
      </c>
      <c r="D51" s="3"/>
    </row>
    <row r="52" spans="1:4">
      <c r="A52" s="2" t="s">
        <v>41</v>
      </c>
      <c r="B52" s="2" t="s">
        <v>42</v>
      </c>
      <c r="C52" s="3"/>
      <c r="D52" s="3">
        <f>+C51</f>
        <v>500000</v>
      </c>
    </row>
    <row r="53" spans="1:4">
      <c r="A53" s="2" t="s">
        <v>41</v>
      </c>
      <c r="B53" s="2" t="s">
        <v>11</v>
      </c>
      <c r="C53" s="3">
        <v>200000</v>
      </c>
      <c r="D53" s="3"/>
    </row>
    <row r="54" spans="1:4">
      <c r="A54" s="2" t="s">
        <v>41</v>
      </c>
      <c r="B54" s="2" t="s">
        <v>6</v>
      </c>
      <c r="C54" s="3"/>
      <c r="D54" s="3">
        <f>+C53</f>
        <v>200000</v>
      </c>
    </row>
    <row r="55" spans="1:4">
      <c r="A55" s="2" t="s">
        <v>41</v>
      </c>
      <c r="B55" s="2" t="s">
        <v>23</v>
      </c>
      <c r="C55" s="3">
        <v>400</v>
      </c>
      <c r="D55" s="3"/>
    </row>
    <row r="56" spans="1:4">
      <c r="A56" s="2" t="s">
        <v>41</v>
      </c>
      <c r="B56" s="2" t="s">
        <v>24</v>
      </c>
      <c r="C56" s="3">
        <v>110</v>
      </c>
      <c r="D56" s="3"/>
    </row>
    <row r="57" spans="1:4">
      <c r="A57" s="2" t="s">
        <v>41</v>
      </c>
      <c r="B57" s="2" t="s">
        <v>25</v>
      </c>
      <c r="C57" s="3">
        <v>770</v>
      </c>
      <c r="D57" s="3"/>
    </row>
    <row r="58" spans="1:4">
      <c r="A58" s="2" t="s">
        <v>41</v>
      </c>
      <c r="B58" s="2" t="s">
        <v>28</v>
      </c>
      <c r="C58" s="3"/>
      <c r="D58" s="3">
        <f>+C55+C56+C57</f>
        <v>1280</v>
      </c>
    </row>
    <row r="59" spans="1:4">
      <c r="A59" s="2" t="s">
        <v>41</v>
      </c>
      <c r="B59" s="2" t="s">
        <v>16</v>
      </c>
      <c r="C59" s="3">
        <v>50000</v>
      </c>
      <c r="D59" s="3"/>
    </row>
    <row r="60" spans="1:4">
      <c r="A60" s="2" t="s">
        <v>41</v>
      </c>
      <c r="B60" s="2" t="s">
        <v>17</v>
      </c>
      <c r="C60" s="3">
        <v>50000</v>
      </c>
      <c r="D60" s="3"/>
    </row>
    <row r="61" spans="1:4">
      <c r="A61" s="2" t="s">
        <v>41</v>
      </c>
      <c r="B61" s="2" t="s">
        <v>18</v>
      </c>
      <c r="C61" s="3">
        <v>30000</v>
      </c>
      <c r="D61" s="3"/>
    </row>
    <row r="62" spans="1:4">
      <c r="A62" s="2" t="s">
        <v>41</v>
      </c>
      <c r="B62" s="2" t="s">
        <v>20</v>
      </c>
      <c r="C62" s="3"/>
      <c r="D62" s="3">
        <v>1300</v>
      </c>
    </row>
    <row r="63" spans="1:4">
      <c r="A63" s="2" t="s">
        <v>41</v>
      </c>
      <c r="B63" s="2" t="s">
        <v>6</v>
      </c>
      <c r="C63" s="3"/>
      <c r="D63" s="3">
        <f>+C59+C60+C61-D62</f>
        <v>128700</v>
      </c>
    </row>
    <row r="64" spans="1:4">
      <c r="A64" s="2" t="s">
        <v>43</v>
      </c>
      <c r="B64" s="2" t="s">
        <v>44</v>
      </c>
      <c r="C64" s="3">
        <v>75000</v>
      </c>
      <c r="D64" s="3"/>
    </row>
    <row r="65" spans="1:4">
      <c r="A65" s="2" t="s">
        <v>43</v>
      </c>
      <c r="B65" s="2" t="s">
        <v>6</v>
      </c>
      <c r="C65" s="3"/>
      <c r="D65" s="3">
        <f>+C64</f>
        <v>75000</v>
      </c>
    </row>
    <row r="66" spans="1:4">
      <c r="A66" s="2" t="s">
        <v>45</v>
      </c>
      <c r="B66" s="2" t="s">
        <v>16</v>
      </c>
      <c r="C66" s="3">
        <v>25000</v>
      </c>
      <c r="D66" s="3"/>
    </row>
    <row r="67" spans="1:4">
      <c r="A67" s="2" t="s">
        <v>45</v>
      </c>
      <c r="B67" s="2" t="s">
        <v>17</v>
      </c>
      <c r="C67" s="3">
        <v>25000</v>
      </c>
      <c r="D67" s="3"/>
    </row>
    <row r="68" spans="1:4">
      <c r="A68" s="2" t="s">
        <v>45</v>
      </c>
      <c r="B68" s="2" t="s">
        <v>20</v>
      </c>
      <c r="C68" s="3"/>
      <c r="D68" s="3">
        <v>500</v>
      </c>
    </row>
    <row r="69" spans="1:4">
      <c r="A69" s="2" t="s">
        <v>45</v>
      </c>
      <c r="B69" s="2" t="s">
        <v>6</v>
      </c>
      <c r="C69" s="3"/>
      <c r="D69" s="3">
        <v>49500</v>
      </c>
    </row>
    <row r="70" spans="1:4">
      <c r="A70" s="2" t="s">
        <v>46</v>
      </c>
      <c r="B70" s="2" t="s">
        <v>23</v>
      </c>
      <c r="C70" s="3">
        <v>90</v>
      </c>
      <c r="D70" s="3"/>
    </row>
    <row r="71" spans="1:4">
      <c r="A71" s="2" t="s">
        <v>46</v>
      </c>
      <c r="B71" s="2" t="s">
        <v>25</v>
      </c>
      <c r="C71" s="3">
        <v>775</v>
      </c>
      <c r="D71" s="3"/>
    </row>
    <row r="72" spans="1:4">
      <c r="A72" s="2" t="s">
        <v>46</v>
      </c>
      <c r="B72" s="2" t="s">
        <v>28</v>
      </c>
      <c r="C72" s="3"/>
      <c r="D72" s="3">
        <f>+C70+C71</f>
        <v>865</v>
      </c>
    </row>
    <row r="73" spans="1:4">
      <c r="A73" s="2" t="s">
        <v>47</v>
      </c>
      <c r="B73" s="2" t="s">
        <v>28</v>
      </c>
      <c r="C73" s="3">
        <v>20000</v>
      </c>
      <c r="D73" s="3"/>
    </row>
    <row r="74" spans="1:4">
      <c r="A74" s="2" t="s">
        <v>47</v>
      </c>
      <c r="B74" s="2" t="s">
        <v>6</v>
      </c>
      <c r="C74" s="3"/>
      <c r="D74" s="3">
        <f>+C73</f>
        <v>20000</v>
      </c>
    </row>
    <row r="75" spans="1:4">
      <c r="A75" s="2" t="s">
        <v>48</v>
      </c>
      <c r="B75" s="2" t="s">
        <v>49</v>
      </c>
      <c r="C75" s="3">
        <v>11500</v>
      </c>
      <c r="D75" s="3"/>
    </row>
    <row r="76" spans="1:4">
      <c r="A76" s="2" t="s">
        <v>48</v>
      </c>
      <c r="B76" s="2" t="s">
        <v>50</v>
      </c>
      <c r="C76" s="3"/>
      <c r="D76" s="3">
        <f>+C75*15%</f>
        <v>1725</v>
      </c>
    </row>
    <row r="77" spans="1:4">
      <c r="A77" s="2" t="s">
        <v>48</v>
      </c>
      <c r="B77" s="2" t="s">
        <v>28</v>
      </c>
      <c r="C77" s="3"/>
      <c r="D77" s="3">
        <f>+C75-D76</f>
        <v>9775</v>
      </c>
    </row>
    <row r="78" spans="1:4">
      <c r="A78" s="2" t="s">
        <v>48</v>
      </c>
      <c r="B78" s="2" t="s">
        <v>27</v>
      </c>
      <c r="C78" s="3">
        <v>1500</v>
      </c>
      <c r="D78" s="3"/>
    </row>
    <row r="79" spans="1:4">
      <c r="A79" s="2" t="s">
        <v>48</v>
      </c>
      <c r="B79" s="2" t="s">
        <v>51</v>
      </c>
      <c r="C79" s="3">
        <v>550</v>
      </c>
      <c r="D79" s="3"/>
    </row>
    <row r="80" spans="1:4">
      <c r="A80" s="2" t="s">
        <v>48</v>
      </c>
      <c r="B80" s="2" t="s">
        <v>28</v>
      </c>
      <c r="C80" s="3"/>
      <c r="D80" s="3">
        <f>+C78+C79</f>
        <v>2050</v>
      </c>
    </row>
    <row r="81" spans="1:4">
      <c r="A81" s="2" t="s">
        <v>52</v>
      </c>
      <c r="B81" s="2" t="s">
        <v>6</v>
      </c>
      <c r="C81" s="3">
        <v>3800000</v>
      </c>
      <c r="D81" s="3"/>
    </row>
    <row r="82" spans="1:4">
      <c r="A82" s="2" t="s">
        <v>52</v>
      </c>
      <c r="B82" s="2" t="s">
        <v>5</v>
      </c>
      <c r="C82" s="3"/>
      <c r="D82" s="3">
        <f>+C81</f>
        <v>3800000</v>
      </c>
    </row>
    <row r="83" spans="1:4">
      <c r="A83" s="2" t="s">
        <v>52</v>
      </c>
      <c r="B83" s="2" t="s">
        <v>53</v>
      </c>
      <c r="C83" s="3">
        <v>3700000</v>
      </c>
      <c r="D83" s="3"/>
    </row>
    <row r="84" spans="1:4">
      <c r="A84" s="2" t="s">
        <v>52</v>
      </c>
      <c r="B84" s="2" t="s">
        <v>6</v>
      </c>
      <c r="C84" s="3"/>
      <c r="D84" s="3">
        <f>+C83</f>
        <v>3700000</v>
      </c>
    </row>
    <row r="85" spans="1:4">
      <c r="A85" s="2" t="s">
        <v>52</v>
      </c>
      <c r="B85" s="2" t="s">
        <v>54</v>
      </c>
      <c r="C85" s="3">
        <v>113785</v>
      </c>
      <c r="D85" s="3"/>
    </row>
    <row r="86" spans="1:4">
      <c r="A86" s="2" t="s">
        <v>52</v>
      </c>
      <c r="B86" s="2" t="s">
        <v>6</v>
      </c>
      <c r="C86" s="3"/>
      <c r="D86" s="3">
        <f>+C85</f>
        <v>113785</v>
      </c>
    </row>
    <row r="87" spans="1:4">
      <c r="A87" s="2" t="s">
        <v>52</v>
      </c>
      <c r="B87" s="2" t="s">
        <v>55</v>
      </c>
      <c r="C87" s="3">
        <v>113785</v>
      </c>
      <c r="D87" s="3"/>
    </row>
    <row r="88" spans="1:4">
      <c r="A88" s="2" t="s">
        <v>52</v>
      </c>
      <c r="B88" s="2" t="s">
        <v>54</v>
      </c>
      <c r="C88" s="3"/>
      <c r="D88" s="3">
        <f>+C87</f>
        <v>113785</v>
      </c>
    </row>
    <row r="89" spans="1:4">
      <c r="A89" s="2" t="s">
        <v>56</v>
      </c>
      <c r="B89" s="2" t="s">
        <v>6</v>
      </c>
      <c r="C89" s="3">
        <v>200000</v>
      </c>
      <c r="D89" s="3"/>
    </row>
    <row r="90" spans="1:4">
      <c r="A90" s="2" t="s">
        <v>56</v>
      </c>
      <c r="B90" s="2" t="s">
        <v>57</v>
      </c>
      <c r="C90" s="3"/>
      <c r="D90" s="3">
        <f>+C89</f>
        <v>200000</v>
      </c>
    </row>
    <row r="91" spans="1:4">
      <c r="A91" s="2" t="s">
        <v>56</v>
      </c>
      <c r="B91" s="2" t="s">
        <v>16</v>
      </c>
      <c r="C91" s="3">
        <v>25000</v>
      </c>
      <c r="D91" s="3"/>
    </row>
    <row r="92" spans="1:4">
      <c r="A92" s="2" t="s">
        <v>56</v>
      </c>
      <c r="B92" s="2" t="s">
        <v>17</v>
      </c>
      <c r="C92" s="3">
        <v>25000</v>
      </c>
      <c r="D92" s="3"/>
    </row>
    <row r="93" spans="1:4">
      <c r="A93" s="2" t="s">
        <v>56</v>
      </c>
      <c r="B93" s="2" t="s">
        <v>20</v>
      </c>
      <c r="C93" s="3"/>
      <c r="D93" s="3">
        <v>500</v>
      </c>
    </row>
    <row r="94" spans="1:4">
      <c r="A94" s="2" t="s">
        <v>56</v>
      </c>
      <c r="B94" s="2" t="s">
        <v>6</v>
      </c>
      <c r="C94" s="3"/>
      <c r="D94" s="3">
        <v>49500</v>
      </c>
    </row>
    <row r="95" spans="1:4">
      <c r="A95" s="2" t="s">
        <v>56</v>
      </c>
      <c r="B95" s="2" t="s">
        <v>58</v>
      </c>
      <c r="C95" s="3">
        <v>124300</v>
      </c>
      <c r="D95" s="3"/>
    </row>
    <row r="96" spans="1:4">
      <c r="A96" s="2" t="s">
        <v>56</v>
      </c>
      <c r="B96" s="2" t="s">
        <v>6</v>
      </c>
      <c r="C96" s="3"/>
      <c r="D96" s="3">
        <f>+C95</f>
        <v>124300</v>
      </c>
    </row>
    <row r="97" spans="1:4">
      <c r="A97" s="2" t="s">
        <v>59</v>
      </c>
      <c r="B97" s="2" t="s">
        <v>39</v>
      </c>
      <c r="C97" s="3">
        <v>30000</v>
      </c>
      <c r="D97" s="3"/>
    </row>
    <row r="98" spans="1:4">
      <c r="A98" s="2" t="s">
        <v>59</v>
      </c>
      <c r="B98" s="2" t="s">
        <v>6</v>
      </c>
      <c r="C98" s="3"/>
      <c r="D98" s="3">
        <f>+C97</f>
        <v>30000</v>
      </c>
    </row>
    <row r="99" spans="1:4">
      <c r="A99" s="2" t="s">
        <v>60</v>
      </c>
      <c r="B99" s="2" t="s">
        <v>6</v>
      </c>
      <c r="C99" s="3">
        <v>1800000</v>
      </c>
      <c r="D99" s="3">
        <f>+C100</f>
        <v>0</v>
      </c>
    </row>
    <row r="100" spans="1:4">
      <c r="A100" s="2" t="s">
        <v>60</v>
      </c>
      <c r="B100" s="2" t="s">
        <v>61</v>
      </c>
      <c r="C100" s="3">
        <v>0</v>
      </c>
      <c r="D100" s="3">
        <f>+C99</f>
        <v>1800000</v>
      </c>
    </row>
    <row r="101" spans="1:4">
      <c r="A101" s="2" t="s">
        <v>60</v>
      </c>
      <c r="B101" s="2" t="s">
        <v>6</v>
      </c>
      <c r="C101" s="3">
        <v>200000</v>
      </c>
      <c r="D101" s="3"/>
    </row>
    <row r="102" spans="1:4">
      <c r="A102" s="2" t="s">
        <v>60</v>
      </c>
      <c r="B102" s="2" t="s">
        <v>61</v>
      </c>
      <c r="C102" s="3"/>
      <c r="D102" s="3">
        <f>+C101</f>
        <v>200000</v>
      </c>
    </row>
    <row r="103" spans="1:4">
      <c r="A103" s="2" t="s">
        <v>62</v>
      </c>
      <c r="B103" s="2" t="s">
        <v>63</v>
      </c>
      <c r="C103" s="3">
        <v>2000000</v>
      </c>
      <c r="D103" s="3"/>
    </row>
    <row r="104" spans="1:4">
      <c r="A104" s="2" t="s">
        <v>62</v>
      </c>
      <c r="B104" s="2" t="s">
        <v>6</v>
      </c>
      <c r="C104" s="3"/>
      <c r="D104" s="3">
        <f>+C103</f>
        <v>2000000</v>
      </c>
    </row>
    <row r="105" spans="1:4">
      <c r="A105" s="2" t="s">
        <v>64</v>
      </c>
      <c r="B105" s="2" t="s">
        <v>6</v>
      </c>
      <c r="C105" s="3">
        <v>19800000</v>
      </c>
      <c r="D105" s="3"/>
    </row>
    <row r="106" spans="1:4">
      <c r="A106" s="2" t="s">
        <v>64</v>
      </c>
      <c r="B106" s="2" t="s">
        <v>57</v>
      </c>
      <c r="C106" s="3"/>
      <c r="D106" s="3">
        <f>+C105</f>
        <v>19800000</v>
      </c>
    </row>
    <row r="107" spans="1:4">
      <c r="A107" s="2" t="s">
        <v>64</v>
      </c>
      <c r="B107" s="2" t="s">
        <v>16</v>
      </c>
      <c r="C107" s="3">
        <v>50000</v>
      </c>
      <c r="D107" s="3"/>
    </row>
    <row r="108" spans="1:4">
      <c r="A108" s="2" t="s">
        <v>64</v>
      </c>
      <c r="B108" s="2" t="s">
        <v>20</v>
      </c>
      <c r="C108" s="3"/>
      <c r="D108" s="3">
        <v>500</v>
      </c>
    </row>
    <row r="109" spans="1:4">
      <c r="A109" s="2" t="s">
        <v>64</v>
      </c>
      <c r="B109" s="2" t="s">
        <v>6</v>
      </c>
      <c r="C109" s="3"/>
      <c r="D109" s="3">
        <v>49500</v>
      </c>
    </row>
    <row r="110" spans="1:4">
      <c r="A110" s="2" t="s">
        <v>64</v>
      </c>
      <c r="B110" s="2" t="s">
        <v>17</v>
      </c>
      <c r="C110" s="3">
        <v>50000</v>
      </c>
      <c r="D110" s="3"/>
    </row>
    <row r="111" spans="1:4">
      <c r="A111" s="2" t="s">
        <v>64</v>
      </c>
      <c r="B111" s="2" t="s">
        <v>20</v>
      </c>
      <c r="C111" s="3"/>
      <c r="D111" s="3">
        <v>500</v>
      </c>
    </row>
    <row r="112" spans="1:4">
      <c r="A112" s="2" t="s">
        <v>64</v>
      </c>
      <c r="B112" s="2" t="s">
        <v>6</v>
      </c>
      <c r="C112" s="3"/>
      <c r="D112" s="3">
        <v>49500</v>
      </c>
    </row>
    <row r="113" spans="1:4">
      <c r="A113" s="2" t="s">
        <v>64</v>
      </c>
      <c r="B113" s="2" t="s">
        <v>65</v>
      </c>
      <c r="C113" s="3">
        <v>12000000</v>
      </c>
      <c r="D113" s="3"/>
    </row>
    <row r="114" spans="1:4">
      <c r="A114" s="2" t="s">
        <v>64</v>
      </c>
      <c r="B114" s="2" t="s">
        <v>6</v>
      </c>
      <c r="C114" s="3"/>
      <c r="D114" s="3">
        <f>+C113</f>
        <v>12000000</v>
      </c>
    </row>
    <row r="115" spans="1:4">
      <c r="A115" s="2" t="s">
        <v>64</v>
      </c>
      <c r="B115" s="2" t="s">
        <v>66</v>
      </c>
      <c r="C115" s="3">
        <v>500000</v>
      </c>
      <c r="D115" s="3"/>
    </row>
    <row r="116" spans="1:4">
      <c r="A116" s="2" t="s">
        <v>64</v>
      </c>
      <c r="B116" s="2" t="s">
        <v>6</v>
      </c>
      <c r="C116" s="3"/>
      <c r="D116" s="3">
        <f>+C115</f>
        <v>500000</v>
      </c>
    </row>
    <row r="117" spans="1:4">
      <c r="A117" s="2" t="s">
        <v>64</v>
      </c>
      <c r="B117" s="2" t="s">
        <v>67</v>
      </c>
      <c r="C117" s="3">
        <v>500000</v>
      </c>
      <c r="D117" s="3"/>
    </row>
    <row r="118" spans="1:4">
      <c r="A118" s="2" t="s">
        <v>64</v>
      </c>
      <c r="B118" s="2" t="s">
        <v>6</v>
      </c>
      <c r="C118" s="3"/>
      <c r="D118" s="3">
        <v>500000</v>
      </c>
    </row>
    <row r="119" spans="1:4">
      <c r="A119" s="2" t="s">
        <v>68</v>
      </c>
      <c r="B119" s="2" t="s">
        <v>69</v>
      </c>
      <c r="C119" s="3">
        <v>220000</v>
      </c>
      <c r="D119" s="3"/>
    </row>
    <row r="120" spans="1:4">
      <c r="A120" s="2" t="s">
        <v>68</v>
      </c>
      <c r="B120" s="2" t="s">
        <v>6</v>
      </c>
      <c r="C120" s="3"/>
      <c r="D120" s="3">
        <f>+C119</f>
        <v>220000</v>
      </c>
    </row>
    <row r="121" spans="1:4">
      <c r="A121" s="2" t="s">
        <v>64</v>
      </c>
      <c r="B121" s="2" t="s">
        <v>70</v>
      </c>
      <c r="C121" s="3">
        <v>2000</v>
      </c>
      <c r="D121" s="3"/>
    </row>
    <row r="122" spans="1:4">
      <c r="A122" s="2" t="s">
        <v>64</v>
      </c>
      <c r="B122" s="2" t="s">
        <v>6</v>
      </c>
      <c r="C122" s="3"/>
      <c r="D122" s="3">
        <f>+C121</f>
        <v>2000</v>
      </c>
    </row>
    <row r="123" spans="1:4">
      <c r="A123" s="2" t="s">
        <v>64</v>
      </c>
      <c r="B123" s="2" t="s">
        <v>9</v>
      </c>
      <c r="C123" s="3">
        <v>780000</v>
      </c>
      <c r="D123" s="3"/>
    </row>
    <row r="124" spans="1:4">
      <c r="A124" s="2" t="s">
        <v>64</v>
      </c>
      <c r="B124" s="2" t="s">
        <v>6</v>
      </c>
      <c r="C124" s="3"/>
      <c r="D124" s="3">
        <f>+C123</f>
        <v>780000</v>
      </c>
    </row>
    <row r="125" spans="1:4">
      <c r="A125" s="2" t="s">
        <v>68</v>
      </c>
      <c r="B125" s="2" t="s">
        <v>53</v>
      </c>
      <c r="C125" s="3">
        <v>600000</v>
      </c>
      <c r="D125" s="3"/>
    </row>
    <row r="126" spans="1:4">
      <c r="A126" s="2" t="s">
        <v>68</v>
      </c>
      <c r="B126" s="2" t="s">
        <v>6</v>
      </c>
      <c r="C126" s="3"/>
      <c r="D126" s="3">
        <f>+C125</f>
        <v>600000</v>
      </c>
    </row>
    <row r="127" spans="1:4">
      <c r="A127" s="2" t="s">
        <v>68</v>
      </c>
      <c r="B127" s="2" t="s">
        <v>53</v>
      </c>
      <c r="C127" s="3">
        <v>2000000</v>
      </c>
      <c r="D127" s="3"/>
    </row>
    <row r="128" spans="1:4">
      <c r="A128" s="2" t="s">
        <v>68</v>
      </c>
      <c r="B128" s="2" t="s">
        <v>6</v>
      </c>
      <c r="C128" s="3"/>
      <c r="D128" s="3">
        <f>+C127</f>
        <v>2000000</v>
      </c>
    </row>
    <row r="129" spans="1:4">
      <c r="A129" s="2" t="s">
        <v>68</v>
      </c>
      <c r="B129" s="2" t="s">
        <v>37</v>
      </c>
      <c r="C129" s="3">
        <v>198000</v>
      </c>
      <c r="D129" s="3"/>
    </row>
    <row r="130" spans="1:4">
      <c r="A130" s="2" t="s">
        <v>68</v>
      </c>
      <c r="B130" s="2" t="s">
        <v>6</v>
      </c>
      <c r="C130" s="3"/>
      <c r="D130" s="3">
        <f>+C129</f>
        <v>198000</v>
      </c>
    </row>
    <row r="131" spans="1:4">
      <c r="A131" s="2" t="s">
        <v>64</v>
      </c>
      <c r="B131" s="2" t="s">
        <v>11</v>
      </c>
      <c r="C131" s="3">
        <v>1935000</v>
      </c>
      <c r="D131" s="3"/>
    </row>
    <row r="132" spans="1:4">
      <c r="A132" s="2" t="s">
        <v>64</v>
      </c>
      <c r="B132" s="2" t="s">
        <v>6</v>
      </c>
      <c r="C132" s="3"/>
      <c r="D132" s="3">
        <f>+C131</f>
        <v>1935000</v>
      </c>
    </row>
    <row r="133" spans="1:4">
      <c r="A133" s="2" t="s">
        <v>64</v>
      </c>
      <c r="B133" s="2" t="s">
        <v>33</v>
      </c>
      <c r="C133" s="6">
        <v>264812</v>
      </c>
      <c r="D133" s="6"/>
    </row>
    <row r="134" spans="1:4">
      <c r="A134" s="2" t="s">
        <v>64</v>
      </c>
      <c r="B134" s="2" t="s">
        <v>6</v>
      </c>
      <c r="C134" s="3"/>
      <c r="D134" s="3">
        <f>+C133</f>
        <v>264812</v>
      </c>
    </row>
    <row r="135" spans="1:4">
      <c r="A135" s="2" t="s">
        <v>64</v>
      </c>
      <c r="B135" s="2" t="s">
        <v>71</v>
      </c>
      <c r="C135" s="3">
        <v>700000</v>
      </c>
      <c r="D135" s="3"/>
    </row>
    <row r="136" spans="1:4">
      <c r="A136" s="2" t="s">
        <v>64</v>
      </c>
      <c r="B136" s="2" t="s">
        <v>6</v>
      </c>
      <c r="C136" s="3"/>
      <c r="D136" s="3">
        <f>+C135</f>
        <v>700000</v>
      </c>
    </row>
    <row r="137" spans="1:4">
      <c r="A137" s="2" t="s">
        <v>72</v>
      </c>
      <c r="B137" s="2" t="s">
        <v>28</v>
      </c>
      <c r="C137" s="3">
        <v>40000</v>
      </c>
      <c r="D137" s="3"/>
    </row>
    <row r="138" spans="1:4">
      <c r="A138" s="2" t="s">
        <v>72</v>
      </c>
      <c r="B138" s="2" t="s">
        <v>73</v>
      </c>
      <c r="C138" s="3"/>
      <c r="D138" s="3">
        <f>+C137</f>
        <v>40000</v>
      </c>
    </row>
    <row r="139" spans="1:4">
      <c r="A139" s="2" t="s">
        <v>72</v>
      </c>
      <c r="B139" s="2" t="s">
        <v>49</v>
      </c>
      <c r="C139" s="3">
        <v>37000</v>
      </c>
      <c r="D139" s="3"/>
    </row>
    <row r="140" spans="1:4">
      <c r="A140" s="2" t="s">
        <v>72</v>
      </c>
      <c r="B140" s="2" t="s">
        <v>50</v>
      </c>
      <c r="C140" s="3"/>
      <c r="D140" s="3">
        <f>+C139*15%</f>
        <v>5550</v>
      </c>
    </row>
    <row r="141" spans="1:4">
      <c r="A141" s="2" t="s">
        <v>72</v>
      </c>
      <c r="B141" s="2" t="s">
        <v>28</v>
      </c>
      <c r="C141" s="3"/>
      <c r="D141" s="3">
        <f>+C139-D140</f>
        <v>31450</v>
      </c>
    </row>
    <row r="142" spans="1:4">
      <c r="A142" s="2" t="s">
        <v>74</v>
      </c>
      <c r="B142" s="2" t="s">
        <v>23</v>
      </c>
      <c r="C142" s="3">
        <v>390</v>
      </c>
      <c r="D142" s="3"/>
    </row>
    <row r="143" spans="1:4">
      <c r="A143" s="2" t="s">
        <v>74</v>
      </c>
      <c r="B143" s="2" t="s">
        <v>27</v>
      </c>
      <c r="C143" s="3">
        <v>1500</v>
      </c>
      <c r="D143" s="3"/>
    </row>
    <row r="144" spans="1:4">
      <c r="A144" s="2" t="s">
        <v>74</v>
      </c>
      <c r="B144" s="2" t="s">
        <v>28</v>
      </c>
      <c r="C144" s="3"/>
      <c r="D144" s="3">
        <f>+C142+C143</f>
        <v>1890</v>
      </c>
    </row>
    <row r="145" spans="1:4">
      <c r="A145" s="2" t="s">
        <v>75</v>
      </c>
      <c r="B145" s="2" t="s">
        <v>76</v>
      </c>
      <c r="C145" s="3">
        <v>170</v>
      </c>
      <c r="D145" s="3"/>
    </row>
    <row r="146" spans="1:4">
      <c r="A146" s="2" t="s">
        <v>75</v>
      </c>
      <c r="B146" s="2" t="s">
        <v>6</v>
      </c>
      <c r="C146" s="3"/>
      <c r="D146" s="3">
        <v>170</v>
      </c>
    </row>
    <row r="147" spans="1:4">
      <c r="A147" s="2" t="s">
        <v>77</v>
      </c>
      <c r="B147" s="2" t="s">
        <v>28</v>
      </c>
      <c r="C147" s="3">
        <v>5000</v>
      </c>
      <c r="D147" s="3"/>
    </row>
    <row r="148" spans="1:4">
      <c r="A148" s="2" t="s">
        <v>77</v>
      </c>
      <c r="B148" s="2" t="s">
        <v>11</v>
      </c>
      <c r="C148" s="3"/>
      <c r="D148" s="3">
        <f>+C147</f>
        <v>5000</v>
      </c>
    </row>
    <row r="149" spans="1:4">
      <c r="A149" s="2" t="s">
        <v>78</v>
      </c>
      <c r="B149" s="2" t="s">
        <v>23</v>
      </c>
      <c r="C149" s="3">
        <v>11175</v>
      </c>
      <c r="D149" s="3"/>
    </row>
    <row r="150" spans="1:4">
      <c r="A150" s="2" t="s">
        <v>78</v>
      </c>
      <c r="B150" s="2" t="s">
        <v>27</v>
      </c>
      <c r="C150" s="3">
        <v>500</v>
      </c>
      <c r="D150" s="3"/>
    </row>
    <row r="151" spans="1:4">
      <c r="A151" s="2" t="s">
        <v>78</v>
      </c>
      <c r="B151" s="2" t="s">
        <v>26</v>
      </c>
      <c r="C151" s="3">
        <v>500</v>
      </c>
      <c r="D151" s="3"/>
    </row>
    <row r="152" spans="1:4">
      <c r="A152" s="2" t="s">
        <v>78</v>
      </c>
      <c r="B152" s="2" t="s">
        <v>28</v>
      </c>
      <c r="C152" s="3"/>
      <c r="D152" s="3">
        <f>+C149+C150+C151</f>
        <v>12175</v>
      </c>
    </row>
    <row r="153" spans="1:4">
      <c r="A153" s="2" t="s">
        <v>79</v>
      </c>
      <c r="B153" s="2" t="s">
        <v>6</v>
      </c>
      <c r="C153" s="3">
        <v>5000000</v>
      </c>
      <c r="D153" s="3"/>
    </row>
    <row r="154" spans="1:4">
      <c r="A154" s="2" t="s">
        <v>79</v>
      </c>
      <c r="B154" s="2" t="s">
        <v>80</v>
      </c>
      <c r="C154" s="3"/>
      <c r="D154" s="3">
        <f>+C153</f>
        <v>5000000</v>
      </c>
    </row>
    <row r="155" spans="1:4">
      <c r="A155" s="2" t="s">
        <v>81</v>
      </c>
      <c r="B155" s="2" t="s">
        <v>6</v>
      </c>
      <c r="C155" s="3">
        <v>10000000</v>
      </c>
      <c r="D155" s="3"/>
    </row>
    <row r="156" spans="1:4">
      <c r="A156" s="2" t="s">
        <v>81</v>
      </c>
      <c r="B156" s="2" t="s">
        <v>80</v>
      </c>
      <c r="C156" s="2"/>
      <c r="D156" s="4">
        <f>+C155</f>
        <v>10000000</v>
      </c>
    </row>
    <row r="157" spans="1:4">
      <c r="A157" s="2" t="s">
        <v>82</v>
      </c>
      <c r="B157" s="2" t="s">
        <v>6</v>
      </c>
      <c r="C157" s="3">
        <v>15600000</v>
      </c>
      <c r="D157" s="3"/>
    </row>
    <row r="158" spans="1:4">
      <c r="A158" s="2" t="s">
        <v>82</v>
      </c>
      <c r="B158" s="2" t="s">
        <v>83</v>
      </c>
      <c r="C158" s="3"/>
      <c r="D158" s="3">
        <f>+C157</f>
        <v>15600000</v>
      </c>
    </row>
    <row r="159" spans="1:4">
      <c r="A159" s="2" t="s">
        <v>84</v>
      </c>
      <c r="B159" s="2" t="s">
        <v>85</v>
      </c>
      <c r="C159" s="3">
        <v>8700000</v>
      </c>
      <c r="D159" s="3"/>
    </row>
    <row r="160" spans="1:4">
      <c r="A160" s="2" t="s">
        <v>84</v>
      </c>
      <c r="B160" s="2" t="s">
        <v>6</v>
      </c>
      <c r="C160" s="3"/>
      <c r="D160" s="3">
        <f>+C159</f>
        <v>8700000</v>
      </c>
    </row>
    <row r="161" spans="1:4">
      <c r="A161" s="2" t="s">
        <v>86</v>
      </c>
      <c r="B161" s="2" t="s">
        <v>87</v>
      </c>
      <c r="C161" s="3">
        <v>1800000</v>
      </c>
      <c r="D161" s="3"/>
    </row>
    <row r="162" spans="1:4">
      <c r="A162" s="2" t="s">
        <v>86</v>
      </c>
      <c r="B162" s="2" t="s">
        <v>6</v>
      </c>
      <c r="C162" s="3"/>
      <c r="D162" s="3">
        <f>+C161</f>
        <v>1800000</v>
      </c>
    </row>
    <row r="163" spans="1:4">
      <c r="A163" s="2" t="s">
        <v>86</v>
      </c>
      <c r="B163" s="2" t="s">
        <v>88</v>
      </c>
      <c r="C163" s="3">
        <v>2000000</v>
      </c>
      <c r="D163" s="3"/>
    </row>
    <row r="164" spans="1:4">
      <c r="A164" s="2" t="s">
        <v>86</v>
      </c>
      <c r="B164" s="2" t="s">
        <v>6</v>
      </c>
      <c r="C164" s="3"/>
      <c r="D164" s="3">
        <f>+C163</f>
        <v>2000000</v>
      </c>
    </row>
    <row r="165" spans="1:4">
      <c r="A165" s="2" t="s">
        <v>84</v>
      </c>
      <c r="B165" s="2" t="s">
        <v>11</v>
      </c>
      <c r="C165" s="3">
        <v>910000</v>
      </c>
      <c r="D165" s="3"/>
    </row>
    <row r="166" spans="1:4">
      <c r="A166" s="2" t="s">
        <v>84</v>
      </c>
      <c r="B166" s="2" t="s">
        <v>6</v>
      </c>
      <c r="C166" s="3"/>
      <c r="D166" s="3">
        <f>+C165</f>
        <v>910000</v>
      </c>
    </row>
    <row r="167" spans="1:4">
      <c r="A167" s="2" t="s">
        <v>82</v>
      </c>
      <c r="B167" s="2" t="s">
        <v>89</v>
      </c>
      <c r="C167" s="3">
        <v>15600000</v>
      </c>
      <c r="D167" s="3"/>
    </row>
    <row r="168" spans="1:4">
      <c r="A168" s="2" t="s">
        <v>82</v>
      </c>
      <c r="B168" s="2" t="s">
        <v>6</v>
      </c>
      <c r="C168" s="3"/>
      <c r="D168" s="3">
        <f>+C167</f>
        <v>15600000</v>
      </c>
    </row>
    <row r="169" spans="1:4">
      <c r="A169" s="2" t="s">
        <v>82</v>
      </c>
      <c r="B169" s="2" t="s">
        <v>16</v>
      </c>
      <c r="C169" s="3">
        <v>175000</v>
      </c>
      <c r="D169" s="3"/>
    </row>
    <row r="170" spans="1:4">
      <c r="A170" s="2" t="s">
        <v>82</v>
      </c>
      <c r="B170" s="2" t="s">
        <v>20</v>
      </c>
      <c r="C170" s="3"/>
      <c r="D170" s="3">
        <f>+C169*1%</f>
        <v>1750</v>
      </c>
    </row>
    <row r="171" spans="1:4">
      <c r="A171" s="2" t="s">
        <v>82</v>
      </c>
      <c r="B171" s="2" t="s">
        <v>6</v>
      </c>
      <c r="C171" s="3"/>
      <c r="D171" s="3">
        <f>+C169-D170</f>
        <v>173250</v>
      </c>
    </row>
    <row r="172" spans="1:4">
      <c r="A172" s="2" t="s">
        <v>82</v>
      </c>
      <c r="B172" s="2" t="s">
        <v>71</v>
      </c>
      <c r="C172" s="3">
        <v>1000000</v>
      </c>
      <c r="D172" s="3"/>
    </row>
    <row r="173" spans="1:4">
      <c r="A173" s="2" t="s">
        <v>82</v>
      </c>
      <c r="B173" s="2" t="s">
        <v>6</v>
      </c>
      <c r="C173" s="2"/>
      <c r="D173" s="4">
        <f>+C172</f>
        <v>1000000</v>
      </c>
    </row>
    <row r="174" spans="1:4">
      <c r="A174" s="2" t="s">
        <v>82</v>
      </c>
      <c r="B174" s="2" t="s">
        <v>90</v>
      </c>
      <c r="C174" s="3">
        <v>339000</v>
      </c>
      <c r="D174" s="3"/>
    </row>
    <row r="175" spans="1:4">
      <c r="A175" s="2" t="s">
        <v>82</v>
      </c>
      <c r="B175" s="2" t="s">
        <v>6</v>
      </c>
      <c r="C175" s="3"/>
      <c r="D175" s="3">
        <v>339000</v>
      </c>
    </row>
    <row r="176" spans="1:4">
      <c r="A176" s="2" t="s">
        <v>82</v>
      </c>
      <c r="B176" s="2" t="s">
        <v>91</v>
      </c>
      <c r="C176" s="3">
        <v>339000</v>
      </c>
      <c r="D176" s="2"/>
    </row>
    <row r="177" spans="1:4">
      <c r="A177" s="2" t="s">
        <v>82</v>
      </c>
      <c r="B177" s="2" t="s">
        <v>35</v>
      </c>
      <c r="C177" s="2"/>
      <c r="D177" s="2">
        <f>300000*1.5%</f>
        <v>4500</v>
      </c>
    </row>
    <row r="178" spans="1:4">
      <c r="A178" s="2" t="s">
        <v>82</v>
      </c>
      <c r="B178" s="2" t="s">
        <v>90</v>
      </c>
      <c r="C178" s="2"/>
      <c r="D178" s="4">
        <f>+C176-D177</f>
        <v>334500</v>
      </c>
    </row>
    <row r="179" spans="1:4">
      <c r="A179" s="2" t="s">
        <v>92</v>
      </c>
      <c r="B179" s="2" t="s">
        <v>6</v>
      </c>
      <c r="C179" s="3">
        <v>1500000</v>
      </c>
      <c r="D179" s="3"/>
    </row>
    <row r="180" spans="1:4">
      <c r="A180" s="2" t="s">
        <v>92</v>
      </c>
      <c r="B180" s="2" t="s">
        <v>93</v>
      </c>
      <c r="C180" s="3"/>
      <c r="D180" s="3">
        <f>+C179</f>
        <v>1500000</v>
      </c>
    </row>
    <row r="181" spans="1:4">
      <c r="A181" s="2" t="s">
        <v>92</v>
      </c>
      <c r="B181" s="2" t="s">
        <v>6</v>
      </c>
      <c r="C181" s="3">
        <v>2500000</v>
      </c>
      <c r="D181" s="2"/>
    </row>
    <row r="182" spans="1:4">
      <c r="A182" s="2" t="s">
        <v>92</v>
      </c>
      <c r="B182" s="2" t="s">
        <v>94</v>
      </c>
      <c r="C182" s="2"/>
      <c r="D182" s="4">
        <f>+C181</f>
        <v>2500000</v>
      </c>
    </row>
    <row r="183" spans="1:4">
      <c r="A183" s="2" t="s">
        <v>86</v>
      </c>
      <c r="B183" s="2" t="s">
        <v>11</v>
      </c>
      <c r="C183" s="3">
        <v>75000</v>
      </c>
      <c r="D183" s="3"/>
    </row>
    <row r="184" spans="1:4">
      <c r="A184" s="2" t="s">
        <v>86</v>
      </c>
      <c r="B184" s="2" t="s">
        <v>6</v>
      </c>
      <c r="C184" s="3"/>
      <c r="D184" s="3">
        <f>+C183</f>
        <v>75000</v>
      </c>
    </row>
    <row r="185" spans="1:4">
      <c r="A185" s="2" t="s">
        <v>95</v>
      </c>
      <c r="B185" s="2" t="s">
        <v>11</v>
      </c>
      <c r="C185" s="3">
        <v>600000</v>
      </c>
      <c r="D185" s="3"/>
    </row>
    <row r="186" spans="1:4">
      <c r="A186" s="2" t="s">
        <v>95</v>
      </c>
      <c r="B186" s="2" t="s">
        <v>6</v>
      </c>
      <c r="C186" s="3"/>
      <c r="D186" s="3">
        <f>+C185</f>
        <v>600000</v>
      </c>
    </row>
    <row r="187" spans="1:4">
      <c r="A187" s="2" t="s">
        <v>95</v>
      </c>
      <c r="B187" s="2" t="s">
        <v>96</v>
      </c>
      <c r="C187" s="3">
        <v>400000</v>
      </c>
      <c r="D187" s="3"/>
    </row>
    <row r="188" spans="1:4">
      <c r="A188" s="2" t="s">
        <v>95</v>
      </c>
      <c r="B188" s="2" t="s">
        <v>6</v>
      </c>
      <c r="C188" s="3"/>
      <c r="D188" s="3">
        <f>+C187</f>
        <v>400000</v>
      </c>
    </row>
    <row r="189" spans="1:4">
      <c r="A189" s="2" t="s">
        <v>95</v>
      </c>
      <c r="B189" s="2" t="s">
        <v>11</v>
      </c>
      <c r="C189" s="3">
        <f>+C187</f>
        <v>400000</v>
      </c>
      <c r="D189" s="3"/>
    </row>
    <row r="190" spans="1:4">
      <c r="A190" s="2" t="s">
        <v>95</v>
      </c>
      <c r="B190" s="2" t="s">
        <v>96</v>
      </c>
      <c r="C190" s="3"/>
      <c r="D190" s="3">
        <f>+C189</f>
        <v>400000</v>
      </c>
    </row>
    <row r="191" spans="1:4">
      <c r="A191" s="2" t="s">
        <v>95</v>
      </c>
      <c r="B191" s="2" t="s">
        <v>11</v>
      </c>
      <c r="C191" s="3">
        <v>400000</v>
      </c>
      <c r="D191" s="3"/>
    </row>
    <row r="192" spans="1:4">
      <c r="A192" s="2" t="s">
        <v>95</v>
      </c>
      <c r="B192" s="2" t="s">
        <v>6</v>
      </c>
      <c r="C192" s="3"/>
      <c r="D192" s="3">
        <f>+C191</f>
        <v>400000</v>
      </c>
    </row>
    <row r="193" spans="1:4">
      <c r="A193" s="2" t="s">
        <v>95</v>
      </c>
      <c r="B193" s="2" t="s">
        <v>97</v>
      </c>
      <c r="C193" s="3">
        <v>800000</v>
      </c>
      <c r="D193" s="3"/>
    </row>
    <row r="194" spans="1:4">
      <c r="A194" s="2" t="s">
        <v>95</v>
      </c>
      <c r="B194" s="2" t="s">
        <v>6</v>
      </c>
      <c r="C194" s="3"/>
      <c r="D194" s="3">
        <f>+C193</f>
        <v>800000</v>
      </c>
    </row>
    <row r="195" spans="1:4">
      <c r="A195" s="2" t="s">
        <v>95</v>
      </c>
      <c r="B195" s="2" t="s">
        <v>98</v>
      </c>
      <c r="C195" s="3">
        <v>200000</v>
      </c>
      <c r="D195" s="3"/>
    </row>
    <row r="196" spans="1:4">
      <c r="A196" s="2" t="s">
        <v>95</v>
      </c>
      <c r="B196" s="2" t="s">
        <v>6</v>
      </c>
      <c r="C196" s="3"/>
      <c r="D196" s="3">
        <f>+C195</f>
        <v>200000</v>
      </c>
    </row>
    <row r="197" spans="1:4">
      <c r="A197" s="2" t="s">
        <v>95</v>
      </c>
      <c r="B197" s="2" t="s">
        <v>76</v>
      </c>
      <c r="C197" s="3">
        <v>200</v>
      </c>
      <c r="D197" s="3"/>
    </row>
    <row r="198" spans="1:4">
      <c r="A198" s="2" t="s">
        <v>95</v>
      </c>
      <c r="B198" s="2" t="s">
        <v>6</v>
      </c>
      <c r="C198" s="2"/>
      <c r="D198" s="4">
        <f>+C197</f>
        <v>200</v>
      </c>
    </row>
    <row r="199" spans="1:4">
      <c r="A199" s="2" t="s">
        <v>99</v>
      </c>
      <c r="B199" s="2" t="s">
        <v>100</v>
      </c>
      <c r="C199" s="3">
        <v>545083.75</v>
      </c>
      <c r="D199" s="3"/>
    </row>
    <row r="200" spans="1:4">
      <c r="A200" s="2" t="s">
        <v>99</v>
      </c>
      <c r="B200" s="2" t="s">
        <v>35</v>
      </c>
      <c r="C200" s="3"/>
      <c r="D200" s="3">
        <f>482375*1.5%</f>
        <v>7235.625</v>
      </c>
    </row>
    <row r="201" spans="1:4">
      <c r="A201" s="2" t="s">
        <v>99</v>
      </c>
      <c r="B201" s="2" t="s">
        <v>101</v>
      </c>
      <c r="C201" s="3"/>
      <c r="D201" s="3">
        <f>+C199-D200</f>
        <v>537848.125</v>
      </c>
    </row>
    <row r="202" spans="1:4">
      <c r="A202" s="2" t="s">
        <v>82</v>
      </c>
      <c r="B202" s="2" t="s">
        <v>102</v>
      </c>
      <c r="C202" s="2">
        <v>2000</v>
      </c>
      <c r="D202" s="2"/>
    </row>
    <row r="203" spans="1:4">
      <c r="A203" s="2" t="s">
        <v>82</v>
      </c>
      <c r="B203" s="2" t="s">
        <v>28</v>
      </c>
      <c r="C203" s="2"/>
      <c r="D203" s="2">
        <f>+C202</f>
        <v>2000</v>
      </c>
    </row>
    <row r="204" spans="1:4">
      <c r="A204" s="2" t="s">
        <v>82</v>
      </c>
      <c r="B204" s="2" t="s">
        <v>102</v>
      </c>
      <c r="C204" s="2">
        <v>210</v>
      </c>
      <c r="D204" s="2"/>
    </row>
    <row r="205" spans="1:4">
      <c r="A205" s="2" t="s">
        <v>82</v>
      </c>
      <c r="B205" s="2" t="s">
        <v>28</v>
      </c>
      <c r="C205" s="2"/>
      <c r="D205" s="2">
        <f>+C204</f>
        <v>210</v>
      </c>
    </row>
    <row r="206" spans="1:4">
      <c r="A206" s="2" t="s">
        <v>103</v>
      </c>
      <c r="B206" s="2" t="s">
        <v>55</v>
      </c>
      <c r="C206" s="2">
        <f>9311+9311+38044+14800+9311+7700+8491+9511+9511</f>
        <v>115990</v>
      </c>
      <c r="D206" s="2"/>
    </row>
    <row r="207" spans="1:4">
      <c r="A207" s="2" t="s">
        <v>103</v>
      </c>
      <c r="B207" s="2" t="s">
        <v>104</v>
      </c>
      <c r="C207" s="2"/>
      <c r="D207" s="2">
        <f>+C206</f>
        <v>115990</v>
      </c>
    </row>
    <row r="208" spans="1:4">
      <c r="A208" s="2" t="s">
        <v>103</v>
      </c>
      <c r="B208" s="2" t="s">
        <v>76</v>
      </c>
      <c r="C208" s="2">
        <v>2101</v>
      </c>
      <c r="D208" s="2"/>
    </row>
    <row r="209" spans="1:4">
      <c r="A209" s="2" t="s">
        <v>103</v>
      </c>
      <c r="B209" s="2" t="s">
        <v>6</v>
      </c>
      <c r="C209" s="2"/>
      <c r="D209" s="2">
        <v>2101</v>
      </c>
    </row>
    <row r="210" spans="1:4">
      <c r="A210" s="2" t="s">
        <v>103</v>
      </c>
      <c r="B210" s="2" t="s">
        <v>105</v>
      </c>
      <c r="C210" s="2">
        <v>15000</v>
      </c>
      <c r="D210" s="2"/>
    </row>
    <row r="211" spans="1:4">
      <c r="A211" s="2" t="s">
        <v>103</v>
      </c>
      <c r="B211" s="2" t="s">
        <v>55</v>
      </c>
      <c r="C211" s="2">
        <v>9311</v>
      </c>
      <c r="D211" s="2"/>
    </row>
    <row r="212" spans="1:4">
      <c r="A212" s="2" t="s">
        <v>103</v>
      </c>
      <c r="B212" s="2" t="s">
        <v>50</v>
      </c>
      <c r="C212" s="2"/>
      <c r="D212" s="2">
        <f>+C210*15%</f>
        <v>2250</v>
      </c>
    </row>
    <row r="213" spans="1:4">
      <c r="A213" s="2" t="s">
        <v>103</v>
      </c>
      <c r="B213" s="2" t="s">
        <v>106</v>
      </c>
      <c r="C213" s="2"/>
      <c r="D213" s="2">
        <f>+C210+C211-D212</f>
        <v>22061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A88EB-D359-42FA-BB7C-3A8A072CCAB2}">
  <dimension ref="B1:E58"/>
  <sheetViews>
    <sheetView workbookViewId="0">
      <selection activeCell="C1" sqref="C1"/>
    </sheetView>
  </sheetViews>
  <sheetFormatPr defaultRowHeight="14.5"/>
  <cols>
    <col min="2" max="2" width="9.90625" bestFit="1" customWidth="1"/>
    <col min="3" max="3" width="41.6328125" bestFit="1" customWidth="1"/>
    <col min="4" max="5" width="13.81640625" bestFit="1" customWidth="1"/>
  </cols>
  <sheetData>
    <row r="1" spans="2:5">
      <c r="B1" s="1" t="s">
        <v>0</v>
      </c>
      <c r="C1" s="1" t="s">
        <v>1</v>
      </c>
      <c r="D1" s="1" t="s">
        <v>2</v>
      </c>
      <c r="E1" s="1" t="s">
        <v>3</v>
      </c>
    </row>
    <row r="2" spans="2:5">
      <c r="B2" s="2" t="s">
        <v>74</v>
      </c>
      <c r="C2" s="2" t="s">
        <v>23</v>
      </c>
      <c r="D2" s="3">
        <v>390</v>
      </c>
      <c r="E2" s="3"/>
    </row>
    <row r="3" spans="2:5">
      <c r="B3" s="2" t="s">
        <v>74</v>
      </c>
      <c r="C3" s="2" t="s">
        <v>27</v>
      </c>
      <c r="D3" s="3">
        <v>1500</v>
      </c>
      <c r="E3" s="3"/>
    </row>
    <row r="4" spans="2:5">
      <c r="B4" s="2" t="s">
        <v>74</v>
      </c>
      <c r="C4" s="2" t="s">
        <v>28</v>
      </c>
      <c r="D4" s="3"/>
      <c r="E4" s="3">
        <f>+D2+D3</f>
        <v>1890</v>
      </c>
    </row>
    <row r="5" spans="2:5">
      <c r="B5" s="2" t="s">
        <v>75</v>
      </c>
      <c r="C5" s="2" t="s">
        <v>76</v>
      </c>
      <c r="D5" s="3">
        <v>170</v>
      </c>
      <c r="E5" s="3"/>
    </row>
    <row r="6" spans="2:5">
      <c r="B6" s="2" t="s">
        <v>75</v>
      </c>
      <c r="C6" s="2" t="s">
        <v>6</v>
      </c>
      <c r="D6" s="3"/>
      <c r="E6" s="3">
        <v>170</v>
      </c>
    </row>
    <row r="7" spans="2:5">
      <c r="B7" s="2" t="s">
        <v>77</v>
      </c>
      <c r="C7" s="2" t="s">
        <v>28</v>
      </c>
      <c r="D7" s="3">
        <v>5000</v>
      </c>
      <c r="E7" s="3"/>
    </row>
    <row r="8" spans="2:5">
      <c r="B8" s="2" t="s">
        <v>77</v>
      </c>
      <c r="C8" s="2" t="s">
        <v>11</v>
      </c>
      <c r="D8" s="3"/>
      <c r="E8" s="3">
        <f>+D7</f>
        <v>5000</v>
      </c>
    </row>
    <row r="9" spans="2:5">
      <c r="B9" s="2" t="s">
        <v>78</v>
      </c>
      <c r="C9" s="2" t="s">
        <v>23</v>
      </c>
      <c r="D9" s="3">
        <v>11175</v>
      </c>
      <c r="E9" s="3"/>
    </row>
    <row r="10" spans="2:5">
      <c r="B10" s="2" t="s">
        <v>78</v>
      </c>
      <c r="C10" s="2" t="s">
        <v>27</v>
      </c>
      <c r="D10" s="3">
        <v>500</v>
      </c>
      <c r="E10" s="3"/>
    </row>
    <row r="11" spans="2:5">
      <c r="B11" s="2" t="s">
        <v>78</v>
      </c>
      <c r="C11" s="2" t="s">
        <v>26</v>
      </c>
      <c r="D11" s="3">
        <v>500</v>
      </c>
      <c r="E11" s="3"/>
    </row>
    <row r="12" spans="2:5">
      <c r="B12" s="2" t="s">
        <v>78</v>
      </c>
      <c r="C12" s="2" t="s">
        <v>28</v>
      </c>
      <c r="D12" s="3"/>
      <c r="E12" s="3">
        <f>+D9+D10+D11</f>
        <v>12175</v>
      </c>
    </row>
    <row r="13" spans="2:5">
      <c r="B13" s="2" t="s">
        <v>79</v>
      </c>
      <c r="C13" s="2" t="s">
        <v>6</v>
      </c>
      <c r="D13" s="3">
        <v>5000000</v>
      </c>
      <c r="E13" s="3"/>
    </row>
    <row r="14" spans="2:5">
      <c r="B14" s="2" t="s">
        <v>79</v>
      </c>
      <c r="C14" s="2" t="s">
        <v>80</v>
      </c>
      <c r="D14" s="3"/>
      <c r="E14" s="3">
        <f>+D13</f>
        <v>5000000</v>
      </c>
    </row>
    <row r="15" spans="2:5">
      <c r="B15" s="2" t="s">
        <v>81</v>
      </c>
      <c r="C15" s="2" t="s">
        <v>6</v>
      </c>
      <c r="D15" s="3">
        <v>10000000</v>
      </c>
      <c r="E15" s="3"/>
    </row>
    <row r="16" spans="2:5">
      <c r="B16" s="2" t="s">
        <v>81</v>
      </c>
      <c r="C16" s="2" t="s">
        <v>80</v>
      </c>
      <c r="D16" s="2"/>
      <c r="E16" s="4">
        <f>+D15</f>
        <v>10000000</v>
      </c>
    </row>
    <row r="17" spans="2:5">
      <c r="B17" s="2" t="s">
        <v>82</v>
      </c>
      <c r="C17" s="2" t="s">
        <v>6</v>
      </c>
      <c r="D17" s="3">
        <v>15600000</v>
      </c>
      <c r="E17" s="3"/>
    </row>
    <row r="18" spans="2:5">
      <c r="B18" s="2" t="s">
        <v>82</v>
      </c>
      <c r="C18" s="2" t="s">
        <v>83</v>
      </c>
      <c r="D18" s="3"/>
      <c r="E18" s="3">
        <f>+D17</f>
        <v>15600000</v>
      </c>
    </row>
    <row r="19" spans="2:5">
      <c r="B19" s="2" t="s">
        <v>84</v>
      </c>
      <c r="C19" s="2" t="s">
        <v>85</v>
      </c>
      <c r="D19" s="3">
        <v>8700000</v>
      </c>
      <c r="E19" s="3"/>
    </row>
    <row r="20" spans="2:5">
      <c r="B20" s="2" t="s">
        <v>84</v>
      </c>
      <c r="C20" s="2" t="s">
        <v>6</v>
      </c>
      <c r="D20" s="3"/>
      <c r="E20" s="3">
        <f>+D19</f>
        <v>8700000</v>
      </c>
    </row>
    <row r="21" spans="2:5">
      <c r="B21" s="2" t="s">
        <v>86</v>
      </c>
      <c r="C21" s="2" t="s">
        <v>87</v>
      </c>
      <c r="D21" s="3">
        <v>1800000</v>
      </c>
      <c r="E21" s="3"/>
    </row>
    <row r="22" spans="2:5">
      <c r="B22" s="2" t="s">
        <v>86</v>
      </c>
      <c r="C22" s="2" t="s">
        <v>6</v>
      </c>
      <c r="D22" s="3"/>
      <c r="E22" s="3">
        <f>+D21</f>
        <v>1800000</v>
      </c>
    </row>
    <row r="23" spans="2:5">
      <c r="B23" s="2" t="s">
        <v>86</v>
      </c>
      <c r="C23" s="2" t="s">
        <v>88</v>
      </c>
      <c r="D23" s="3">
        <v>2000000</v>
      </c>
      <c r="E23" s="3"/>
    </row>
    <row r="24" spans="2:5">
      <c r="B24" s="2" t="s">
        <v>86</v>
      </c>
      <c r="C24" s="2" t="s">
        <v>6</v>
      </c>
      <c r="D24" s="3"/>
      <c r="E24" s="3">
        <f>+D23</f>
        <v>2000000</v>
      </c>
    </row>
    <row r="25" spans="2:5">
      <c r="B25" s="2" t="s">
        <v>84</v>
      </c>
      <c r="C25" s="2" t="s">
        <v>11</v>
      </c>
      <c r="D25" s="3">
        <v>910000</v>
      </c>
      <c r="E25" s="3"/>
    </row>
    <row r="26" spans="2:5">
      <c r="B26" s="2" t="s">
        <v>84</v>
      </c>
      <c r="C26" s="2" t="s">
        <v>6</v>
      </c>
      <c r="D26" s="3"/>
      <c r="E26" s="3">
        <f>+D25</f>
        <v>910000</v>
      </c>
    </row>
    <row r="27" spans="2:5">
      <c r="B27" s="2" t="s">
        <v>82</v>
      </c>
      <c r="C27" s="2" t="s">
        <v>89</v>
      </c>
      <c r="D27" s="3">
        <v>15600000</v>
      </c>
      <c r="E27" s="3"/>
    </row>
    <row r="28" spans="2:5">
      <c r="B28" s="2" t="s">
        <v>82</v>
      </c>
      <c r="C28" s="2" t="s">
        <v>6</v>
      </c>
      <c r="D28" s="3"/>
      <c r="E28" s="3">
        <f>+D27</f>
        <v>15600000</v>
      </c>
    </row>
    <row r="29" spans="2:5">
      <c r="B29" s="2" t="s">
        <v>82</v>
      </c>
      <c r="C29" s="2" t="s">
        <v>16</v>
      </c>
      <c r="D29" s="3">
        <v>175000</v>
      </c>
      <c r="E29" s="3"/>
    </row>
    <row r="30" spans="2:5">
      <c r="B30" s="2" t="s">
        <v>82</v>
      </c>
      <c r="C30" s="2" t="s">
        <v>20</v>
      </c>
      <c r="D30" s="3"/>
      <c r="E30" s="3">
        <f>+D29*1%</f>
        <v>1750</v>
      </c>
    </row>
    <row r="31" spans="2:5">
      <c r="B31" s="2" t="s">
        <v>82</v>
      </c>
      <c r="C31" s="2" t="s">
        <v>6</v>
      </c>
      <c r="D31" s="3"/>
      <c r="E31" s="3">
        <f>+D29-E30</f>
        <v>173250</v>
      </c>
    </row>
    <row r="32" spans="2:5">
      <c r="B32" s="2" t="s">
        <v>82</v>
      </c>
      <c r="C32" s="2" t="s">
        <v>71</v>
      </c>
      <c r="D32" s="3">
        <v>1000000</v>
      </c>
      <c r="E32" s="3"/>
    </row>
    <row r="33" spans="2:5">
      <c r="B33" s="2" t="s">
        <v>82</v>
      </c>
      <c r="C33" s="2" t="s">
        <v>6</v>
      </c>
      <c r="D33" s="2"/>
      <c r="E33" s="4">
        <f>+D32</f>
        <v>1000000</v>
      </c>
    </row>
    <row r="34" spans="2:5">
      <c r="B34" s="2" t="s">
        <v>82</v>
      </c>
      <c r="C34" s="2" t="s">
        <v>90</v>
      </c>
      <c r="D34" s="3">
        <v>339000</v>
      </c>
      <c r="E34" s="3"/>
    </row>
    <row r="35" spans="2:5">
      <c r="B35" s="2" t="s">
        <v>82</v>
      </c>
      <c r="C35" s="2" t="s">
        <v>6</v>
      </c>
      <c r="D35" s="3"/>
      <c r="E35" s="3">
        <v>339000</v>
      </c>
    </row>
    <row r="36" spans="2:5">
      <c r="B36" s="2" t="s">
        <v>82</v>
      </c>
      <c r="C36" s="2" t="s">
        <v>91</v>
      </c>
      <c r="D36" s="3">
        <v>339000</v>
      </c>
      <c r="E36" s="2"/>
    </row>
    <row r="37" spans="2:5">
      <c r="B37" s="2" t="s">
        <v>82</v>
      </c>
      <c r="C37" s="2" t="s">
        <v>35</v>
      </c>
      <c r="D37" s="2"/>
      <c r="E37" s="2">
        <f>300000*1.5%</f>
        <v>4500</v>
      </c>
    </row>
    <row r="38" spans="2:5">
      <c r="B38" s="2" t="s">
        <v>82</v>
      </c>
      <c r="C38" s="2" t="s">
        <v>90</v>
      </c>
      <c r="D38" s="2"/>
      <c r="E38" s="4">
        <f>+D36-E37</f>
        <v>334500</v>
      </c>
    </row>
    <row r="39" spans="2:5">
      <c r="B39" s="2" t="s">
        <v>92</v>
      </c>
      <c r="C39" s="2" t="s">
        <v>6</v>
      </c>
      <c r="D39" s="3">
        <v>1500000</v>
      </c>
      <c r="E39" s="3"/>
    </row>
    <row r="40" spans="2:5">
      <c r="B40" s="2" t="s">
        <v>92</v>
      </c>
      <c r="C40" s="2" t="s">
        <v>93</v>
      </c>
      <c r="D40" s="3"/>
      <c r="E40" s="3">
        <f>+D39</f>
        <v>1500000</v>
      </c>
    </row>
    <row r="41" spans="2:5">
      <c r="B41" s="2" t="s">
        <v>92</v>
      </c>
      <c r="C41" s="2" t="s">
        <v>6</v>
      </c>
      <c r="D41" s="3">
        <v>2500000</v>
      </c>
      <c r="E41" s="2"/>
    </row>
    <row r="42" spans="2:5">
      <c r="B42" s="2" t="s">
        <v>92</v>
      </c>
      <c r="C42" s="2" t="s">
        <v>94</v>
      </c>
      <c r="D42" s="2"/>
      <c r="E42" s="4">
        <f>+D41</f>
        <v>2500000</v>
      </c>
    </row>
    <row r="43" spans="2:5">
      <c r="B43" s="2" t="s">
        <v>86</v>
      </c>
      <c r="C43" s="2" t="s">
        <v>11</v>
      </c>
      <c r="D43" s="3">
        <v>75000</v>
      </c>
      <c r="E43" s="3"/>
    </row>
    <row r="44" spans="2:5">
      <c r="B44" s="2" t="s">
        <v>86</v>
      </c>
      <c r="C44" s="2" t="s">
        <v>6</v>
      </c>
      <c r="D44" s="3"/>
      <c r="E44" s="3">
        <f>+D43</f>
        <v>75000</v>
      </c>
    </row>
    <row r="45" spans="2:5">
      <c r="B45" s="2" t="s">
        <v>95</v>
      </c>
      <c r="C45" s="2" t="s">
        <v>11</v>
      </c>
      <c r="D45" s="3">
        <v>600000</v>
      </c>
      <c r="E45" s="3"/>
    </row>
    <row r="46" spans="2:5">
      <c r="B46" s="2" t="s">
        <v>95</v>
      </c>
      <c r="C46" s="2" t="s">
        <v>6</v>
      </c>
      <c r="D46" s="3"/>
      <c r="E46" s="3">
        <f>+D45</f>
        <v>600000</v>
      </c>
    </row>
    <row r="47" spans="2:5">
      <c r="B47" s="2" t="s">
        <v>95</v>
      </c>
      <c r="C47" s="2" t="s">
        <v>96</v>
      </c>
      <c r="D47" s="3">
        <v>400000</v>
      </c>
      <c r="E47" s="3"/>
    </row>
    <row r="48" spans="2:5">
      <c r="B48" s="2" t="s">
        <v>95</v>
      </c>
      <c r="C48" s="2" t="s">
        <v>6</v>
      </c>
      <c r="D48" s="3"/>
      <c r="E48" s="3">
        <f>+D47</f>
        <v>400000</v>
      </c>
    </row>
    <row r="49" spans="2:5">
      <c r="B49" s="2" t="s">
        <v>95</v>
      </c>
      <c r="C49" s="2" t="s">
        <v>11</v>
      </c>
      <c r="D49" s="3">
        <f>+D47</f>
        <v>400000</v>
      </c>
      <c r="E49" s="3"/>
    </row>
    <row r="50" spans="2:5">
      <c r="B50" s="2" t="s">
        <v>95</v>
      </c>
      <c r="C50" s="2" t="s">
        <v>96</v>
      </c>
      <c r="D50" s="3"/>
      <c r="E50" s="3">
        <f>+D49</f>
        <v>400000</v>
      </c>
    </row>
    <row r="51" spans="2:5">
      <c r="B51" s="2" t="s">
        <v>95</v>
      </c>
      <c r="C51" s="2" t="s">
        <v>11</v>
      </c>
      <c r="D51" s="3">
        <v>400000</v>
      </c>
      <c r="E51" s="3"/>
    </row>
    <row r="52" spans="2:5">
      <c r="B52" s="2" t="s">
        <v>95</v>
      </c>
      <c r="C52" s="2" t="s">
        <v>6</v>
      </c>
      <c r="D52" s="3"/>
      <c r="E52" s="3">
        <f>+D51</f>
        <v>400000</v>
      </c>
    </row>
    <row r="53" spans="2:5">
      <c r="B53" s="2" t="s">
        <v>95</v>
      </c>
      <c r="C53" s="2" t="s">
        <v>97</v>
      </c>
      <c r="D53" s="3">
        <v>800000</v>
      </c>
      <c r="E53" s="3"/>
    </row>
    <row r="54" spans="2:5">
      <c r="B54" s="2" t="s">
        <v>95</v>
      </c>
      <c r="C54" s="2" t="s">
        <v>6</v>
      </c>
      <c r="D54" s="3"/>
      <c r="E54" s="3">
        <f>+D53</f>
        <v>800000</v>
      </c>
    </row>
    <row r="55" spans="2:5">
      <c r="B55" s="2" t="s">
        <v>95</v>
      </c>
      <c r="C55" s="2" t="s">
        <v>98</v>
      </c>
      <c r="D55" s="3">
        <v>200000</v>
      </c>
      <c r="E55" s="3"/>
    </row>
    <row r="56" spans="2:5">
      <c r="B56" s="2" t="s">
        <v>95</v>
      </c>
      <c r="C56" s="2" t="s">
        <v>6</v>
      </c>
      <c r="D56" s="3"/>
      <c r="E56" s="3">
        <f>+D55</f>
        <v>200000</v>
      </c>
    </row>
    <row r="57" spans="2:5">
      <c r="B57" s="2" t="s">
        <v>95</v>
      </c>
      <c r="C57" s="2" t="s">
        <v>76</v>
      </c>
      <c r="D57" s="3">
        <v>200</v>
      </c>
      <c r="E57" s="3"/>
    </row>
    <row r="58" spans="2:5">
      <c r="B58" s="2" t="s">
        <v>95</v>
      </c>
      <c r="C58" s="2" t="s">
        <v>6</v>
      </c>
      <c r="D58" s="2"/>
      <c r="E58" s="4">
        <f>+D57</f>
        <v>200</v>
      </c>
    </row>
  </sheetData>
  <autoFilter ref="B1:E58" xr:uid="{D72A88EB-D359-42FA-BB7C-3A8A072CCAB2}"/>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B5FF5-4879-42C8-BDF7-23C601F49349}">
  <dimension ref="B2:E142"/>
  <sheetViews>
    <sheetView topLeftCell="A103" workbookViewId="0">
      <selection activeCell="E122" sqref="E122"/>
    </sheetView>
  </sheetViews>
  <sheetFormatPr defaultRowHeight="14.5"/>
  <cols>
    <col min="2" max="2" width="9.90625" bestFit="1" customWidth="1"/>
    <col min="3" max="3" width="36.90625" bestFit="1" customWidth="1"/>
    <col min="4" max="5" width="13.81640625" bestFit="1" customWidth="1"/>
  </cols>
  <sheetData>
    <row r="2" spans="2:5">
      <c r="B2" s="1" t="s">
        <v>0</v>
      </c>
      <c r="C2" s="1" t="s">
        <v>1</v>
      </c>
      <c r="D2" s="1" t="s">
        <v>2</v>
      </c>
      <c r="E2" s="1" t="s">
        <v>3</v>
      </c>
    </row>
    <row r="3" spans="2:5">
      <c r="B3" s="2" t="s">
        <v>4</v>
      </c>
      <c r="C3" s="2" t="s">
        <v>5</v>
      </c>
      <c r="D3" s="3">
        <v>820000</v>
      </c>
      <c r="E3" s="3"/>
    </row>
    <row r="4" spans="2:5">
      <c r="B4" s="2" t="s">
        <v>4</v>
      </c>
      <c r="C4" s="2" t="s">
        <v>6</v>
      </c>
      <c r="D4" s="3"/>
      <c r="E4" s="3">
        <f>+D3</f>
        <v>820000</v>
      </c>
    </row>
    <row r="5" spans="2:5">
      <c r="B5" s="2" t="s">
        <v>7</v>
      </c>
      <c r="C5" s="2" t="s">
        <v>6</v>
      </c>
      <c r="D5" s="3">
        <v>220000</v>
      </c>
      <c r="E5" s="3"/>
    </row>
    <row r="6" spans="2:5">
      <c r="B6" s="2" t="s">
        <v>7</v>
      </c>
      <c r="C6" s="2" t="s">
        <v>5</v>
      </c>
      <c r="D6" s="3"/>
      <c r="E6" s="3">
        <f>+D5</f>
        <v>220000</v>
      </c>
    </row>
    <row r="7" spans="2:5">
      <c r="B7" s="2" t="s">
        <v>8</v>
      </c>
      <c r="C7" s="2" t="s">
        <v>6</v>
      </c>
      <c r="D7" s="3">
        <v>780000</v>
      </c>
      <c r="E7" s="3"/>
    </row>
    <row r="8" spans="2:5">
      <c r="B8" s="2" t="s">
        <v>8</v>
      </c>
      <c r="C8" s="2" t="s">
        <v>9</v>
      </c>
      <c r="D8" s="3"/>
      <c r="E8" s="3">
        <f>+D7</f>
        <v>780000</v>
      </c>
    </row>
    <row r="9" spans="2:5">
      <c r="B9" s="2" t="s">
        <v>10</v>
      </c>
      <c r="C9" s="2" t="s">
        <v>11</v>
      </c>
      <c r="D9" s="3">
        <v>25000</v>
      </c>
      <c r="E9" s="3"/>
    </row>
    <row r="10" spans="2:5">
      <c r="B10" s="2" t="s">
        <v>10</v>
      </c>
      <c r="C10" s="2" t="s">
        <v>6</v>
      </c>
      <c r="D10" s="3"/>
      <c r="E10" s="3">
        <v>25000</v>
      </c>
    </row>
    <row r="11" spans="2:5">
      <c r="B11" s="2" t="s">
        <v>10</v>
      </c>
      <c r="C11" s="2" t="s">
        <v>12</v>
      </c>
      <c r="D11" s="3">
        <v>1000000</v>
      </c>
      <c r="E11" s="3"/>
    </row>
    <row r="12" spans="2:5">
      <c r="B12" s="2" t="s">
        <v>10</v>
      </c>
      <c r="C12" s="2" t="s">
        <v>6</v>
      </c>
      <c r="D12" s="3"/>
      <c r="E12" s="3">
        <f>+D11</f>
        <v>1000000</v>
      </c>
    </row>
    <row r="13" spans="2:5">
      <c r="B13" s="2" t="s">
        <v>13</v>
      </c>
      <c r="C13" s="2" t="s">
        <v>6</v>
      </c>
      <c r="D13" s="3">
        <v>700000</v>
      </c>
      <c r="E13" s="3"/>
    </row>
    <row r="14" spans="2:5">
      <c r="B14" s="2" t="s">
        <v>13</v>
      </c>
      <c r="C14" s="2" t="s">
        <v>14</v>
      </c>
      <c r="D14" s="3"/>
      <c r="E14" s="3">
        <f>+D13</f>
        <v>700000</v>
      </c>
    </row>
    <row r="15" spans="2:5">
      <c r="B15" s="2" t="s">
        <v>15</v>
      </c>
      <c r="C15" s="2" t="s">
        <v>16</v>
      </c>
      <c r="D15" s="3">
        <v>25000</v>
      </c>
      <c r="E15" s="3"/>
    </row>
    <row r="16" spans="2:5">
      <c r="B16" s="2" t="s">
        <v>15</v>
      </c>
      <c r="C16" s="2" t="s">
        <v>17</v>
      </c>
      <c r="D16" s="3">
        <v>25000</v>
      </c>
      <c r="E16" s="3"/>
    </row>
    <row r="17" spans="2:5">
      <c r="B17" s="2" t="s">
        <v>15</v>
      </c>
      <c r="C17" s="2" t="s">
        <v>18</v>
      </c>
      <c r="D17" s="3">
        <v>15000</v>
      </c>
      <c r="E17" s="3"/>
    </row>
    <row r="18" spans="2:5">
      <c r="B18" s="2" t="s">
        <v>15</v>
      </c>
      <c r="C18" s="2" t="s">
        <v>19</v>
      </c>
      <c r="D18" s="3">
        <v>20000</v>
      </c>
      <c r="E18" s="3"/>
    </row>
    <row r="19" spans="2:5">
      <c r="B19" s="2" t="s">
        <v>15</v>
      </c>
      <c r="C19" s="2" t="s">
        <v>20</v>
      </c>
      <c r="D19" s="3"/>
      <c r="E19" s="3">
        <v>850</v>
      </c>
    </row>
    <row r="20" spans="2:5">
      <c r="B20" s="2" t="s">
        <v>15</v>
      </c>
      <c r="C20" s="2" t="s">
        <v>6</v>
      </c>
      <c r="D20" s="3"/>
      <c r="E20" s="3">
        <f>+D15+D16+D17+D18-E19</f>
        <v>84150</v>
      </c>
    </row>
    <row r="21" spans="2:5">
      <c r="B21" s="2" t="s">
        <v>21</v>
      </c>
      <c r="C21" s="2" t="s">
        <v>11</v>
      </c>
      <c r="D21" s="3">
        <v>50000</v>
      </c>
      <c r="E21" s="3"/>
    </row>
    <row r="22" spans="2:5">
      <c r="B22" s="2" t="s">
        <v>21</v>
      </c>
      <c r="C22" s="2" t="s">
        <v>6</v>
      </c>
      <c r="D22" s="3"/>
      <c r="E22" s="3">
        <f>+D21</f>
        <v>50000</v>
      </c>
    </row>
    <row r="23" spans="2:5">
      <c r="B23" s="2" t="s">
        <v>21</v>
      </c>
      <c r="C23" s="2" t="s">
        <v>9</v>
      </c>
      <c r="D23" s="3">
        <v>100000</v>
      </c>
      <c r="E23" s="3"/>
    </row>
    <row r="24" spans="2:5">
      <c r="B24" s="2" t="s">
        <v>21</v>
      </c>
      <c r="C24" s="2" t="s">
        <v>6</v>
      </c>
      <c r="D24" s="3"/>
      <c r="E24" s="3">
        <f>+D23</f>
        <v>100000</v>
      </c>
    </row>
    <row r="25" spans="2:5">
      <c r="B25" s="2" t="s">
        <v>21</v>
      </c>
      <c r="C25" s="2" t="s">
        <v>9</v>
      </c>
      <c r="D25" s="3">
        <v>160000</v>
      </c>
      <c r="E25" s="3"/>
    </row>
    <row r="26" spans="2:5">
      <c r="B26" s="2" t="s">
        <v>21</v>
      </c>
      <c r="C26" s="2" t="s">
        <v>6</v>
      </c>
      <c r="D26" s="3"/>
      <c r="E26" s="3">
        <f>+D25</f>
        <v>160000</v>
      </c>
    </row>
    <row r="27" spans="2:5">
      <c r="B27" s="2" t="s">
        <v>22</v>
      </c>
      <c r="C27" s="2" t="s">
        <v>23</v>
      </c>
      <c r="D27" s="3">
        <f>3475+3000</f>
        <v>6475</v>
      </c>
      <c r="E27" s="3"/>
    </row>
    <row r="28" spans="2:5">
      <c r="B28" s="2" t="s">
        <v>22</v>
      </c>
      <c r="C28" s="2" t="s">
        <v>24</v>
      </c>
      <c r="D28" s="3">
        <v>1030</v>
      </c>
      <c r="E28" s="3"/>
    </row>
    <row r="29" spans="2:5">
      <c r="B29" s="2" t="s">
        <v>22</v>
      </c>
      <c r="C29" s="2" t="s">
        <v>25</v>
      </c>
      <c r="D29" s="3">
        <v>760</v>
      </c>
      <c r="E29" s="3"/>
    </row>
    <row r="30" spans="2:5">
      <c r="B30" s="2" t="s">
        <v>22</v>
      </c>
      <c r="C30" s="2" t="s">
        <v>26</v>
      </c>
      <c r="D30" s="3">
        <v>4000</v>
      </c>
      <c r="E30" s="2"/>
    </row>
    <row r="31" spans="2:5">
      <c r="B31" s="2" t="s">
        <v>22</v>
      </c>
      <c r="C31" s="2" t="s">
        <v>27</v>
      </c>
      <c r="D31" s="3">
        <v>3090</v>
      </c>
      <c r="E31" s="2"/>
    </row>
    <row r="32" spans="2:5">
      <c r="B32" s="2" t="s">
        <v>22</v>
      </c>
      <c r="C32" s="2" t="s">
        <v>28</v>
      </c>
      <c r="D32" s="2"/>
      <c r="E32" s="4">
        <f>SUM(D27:D31)</f>
        <v>15355</v>
      </c>
    </row>
    <row r="33" spans="2:5">
      <c r="B33" s="2" t="s">
        <v>29</v>
      </c>
      <c r="C33" s="2" t="s">
        <v>28</v>
      </c>
      <c r="D33" s="3">
        <v>10000</v>
      </c>
      <c r="E33" s="3"/>
    </row>
    <row r="34" spans="2:5">
      <c r="B34" s="2" t="s">
        <v>29</v>
      </c>
      <c r="C34" s="2" t="s">
        <v>6</v>
      </c>
      <c r="D34" s="3"/>
      <c r="E34" s="3">
        <v>10000</v>
      </c>
    </row>
    <row r="35" spans="2:5">
      <c r="B35" s="2" t="s">
        <v>29</v>
      </c>
      <c r="C35" s="2" t="s">
        <v>11</v>
      </c>
      <c r="D35" s="3">
        <v>100000</v>
      </c>
      <c r="E35" s="3"/>
    </row>
    <row r="36" spans="2:5">
      <c r="B36" s="2" t="s">
        <v>29</v>
      </c>
      <c r="C36" s="2" t="s">
        <v>6</v>
      </c>
      <c r="D36" s="3"/>
      <c r="E36" s="3">
        <f>+D35</f>
        <v>100000</v>
      </c>
    </row>
    <row r="37" spans="2:5">
      <c r="B37" s="2" t="s">
        <v>30</v>
      </c>
      <c r="C37" s="2" t="s">
        <v>6</v>
      </c>
      <c r="D37" s="3">
        <v>40000</v>
      </c>
      <c r="E37" s="3"/>
    </row>
    <row r="38" spans="2:5">
      <c r="B38" s="2" t="s">
        <v>30</v>
      </c>
      <c r="C38" s="2" t="s">
        <v>31</v>
      </c>
      <c r="D38" s="3"/>
      <c r="E38" s="3">
        <f>+D37</f>
        <v>40000</v>
      </c>
    </row>
    <row r="39" spans="2:5">
      <c r="B39" s="2" t="s">
        <v>30</v>
      </c>
      <c r="C39" s="2" t="s">
        <v>6</v>
      </c>
      <c r="D39" s="3">
        <v>25000</v>
      </c>
      <c r="E39" s="3"/>
    </row>
    <row r="40" spans="2:5">
      <c r="B40" s="2" t="s">
        <v>30</v>
      </c>
      <c r="C40" s="2" t="s">
        <v>32</v>
      </c>
      <c r="D40" s="3"/>
      <c r="E40" s="3">
        <f>+D39</f>
        <v>25000</v>
      </c>
    </row>
    <row r="41" spans="2:5">
      <c r="B41" s="2" t="s">
        <v>30</v>
      </c>
      <c r="C41" s="5" t="s">
        <v>33</v>
      </c>
      <c r="D41" s="3">
        <v>264812.5</v>
      </c>
      <c r="E41" s="3"/>
    </row>
    <row r="42" spans="2:5">
      <c r="B42" s="2" t="s">
        <v>30</v>
      </c>
      <c r="C42" s="2" t="s">
        <v>6</v>
      </c>
      <c r="D42" s="3"/>
      <c r="E42" s="3">
        <f>+D41</f>
        <v>264812.5</v>
      </c>
    </row>
    <row r="43" spans="2:5">
      <c r="B43" s="2" t="s">
        <v>30</v>
      </c>
      <c r="C43" s="2" t="s">
        <v>34</v>
      </c>
      <c r="D43" s="3">
        <v>0</v>
      </c>
      <c r="E43" s="3"/>
    </row>
    <row r="44" spans="2:5">
      <c r="B44" s="2" t="s">
        <v>30</v>
      </c>
      <c r="C44" s="2" t="s">
        <v>35</v>
      </c>
      <c r="D44" s="3"/>
      <c r="E44" s="3">
        <f>+D43/1.13*1.5%</f>
        <v>0</v>
      </c>
    </row>
    <row r="45" spans="2:5">
      <c r="B45" s="2" t="s">
        <v>30</v>
      </c>
      <c r="C45" s="5" t="s">
        <v>33</v>
      </c>
      <c r="D45" s="3"/>
      <c r="E45" s="3">
        <f>+D43-E44</f>
        <v>0</v>
      </c>
    </row>
    <row r="46" spans="2:5">
      <c r="B46" s="2" t="s">
        <v>36</v>
      </c>
      <c r="C46" s="2" t="s">
        <v>6</v>
      </c>
      <c r="D46" s="3">
        <v>200000</v>
      </c>
      <c r="E46" s="3"/>
    </row>
    <row r="47" spans="2:5">
      <c r="B47" s="2" t="s">
        <v>36</v>
      </c>
      <c r="C47" s="2" t="s">
        <v>37</v>
      </c>
      <c r="D47" s="3"/>
      <c r="E47" s="3">
        <v>200000</v>
      </c>
    </row>
    <row r="48" spans="2:5">
      <c r="B48" s="2" t="s">
        <v>38</v>
      </c>
      <c r="C48" s="2" t="s">
        <v>39</v>
      </c>
      <c r="D48" s="3">
        <v>160000</v>
      </c>
      <c r="E48" s="3"/>
    </row>
    <row r="49" spans="2:5">
      <c r="B49" s="2" t="s">
        <v>38</v>
      </c>
      <c r="C49" s="2" t="s">
        <v>6</v>
      </c>
      <c r="D49" s="3"/>
      <c r="E49" s="3">
        <f>+D48</f>
        <v>160000</v>
      </c>
    </row>
    <row r="50" spans="2:5">
      <c r="B50" s="2" t="s">
        <v>38</v>
      </c>
      <c r="C50" s="2" t="s">
        <v>40</v>
      </c>
      <c r="D50" s="3">
        <v>40000</v>
      </c>
      <c r="E50" s="3"/>
    </row>
    <row r="51" spans="2:5">
      <c r="B51" s="2" t="s">
        <v>38</v>
      </c>
      <c r="C51" s="2" t="s">
        <v>6</v>
      </c>
      <c r="D51" s="3"/>
      <c r="E51" s="3">
        <f>+D50</f>
        <v>40000</v>
      </c>
    </row>
    <row r="52" spans="2:5">
      <c r="B52" s="2" t="s">
        <v>41</v>
      </c>
      <c r="C52" s="2" t="s">
        <v>6</v>
      </c>
      <c r="D52" s="3">
        <v>500000</v>
      </c>
      <c r="E52" s="3"/>
    </row>
    <row r="53" spans="2:5">
      <c r="B53" s="2" t="s">
        <v>41</v>
      </c>
      <c r="C53" s="2" t="s">
        <v>42</v>
      </c>
      <c r="D53" s="3"/>
      <c r="E53" s="3">
        <f>+D52</f>
        <v>500000</v>
      </c>
    </row>
    <row r="54" spans="2:5">
      <c r="B54" s="2" t="s">
        <v>41</v>
      </c>
      <c r="C54" s="2" t="s">
        <v>11</v>
      </c>
      <c r="D54" s="3">
        <v>200000</v>
      </c>
      <c r="E54" s="3"/>
    </row>
    <row r="55" spans="2:5">
      <c r="B55" s="2" t="s">
        <v>41</v>
      </c>
      <c r="C55" s="2" t="s">
        <v>6</v>
      </c>
      <c r="D55" s="3"/>
      <c r="E55" s="3">
        <f>+D54</f>
        <v>200000</v>
      </c>
    </row>
    <row r="56" spans="2:5">
      <c r="B56" s="2" t="s">
        <v>41</v>
      </c>
      <c r="C56" s="2" t="s">
        <v>23</v>
      </c>
      <c r="D56" s="3">
        <v>400</v>
      </c>
      <c r="E56" s="3"/>
    </row>
    <row r="57" spans="2:5">
      <c r="B57" s="2" t="s">
        <v>41</v>
      </c>
      <c r="C57" s="2" t="s">
        <v>24</v>
      </c>
      <c r="D57" s="3">
        <v>110</v>
      </c>
      <c r="E57" s="3"/>
    </row>
    <row r="58" spans="2:5">
      <c r="B58" s="2" t="s">
        <v>41</v>
      </c>
      <c r="C58" s="2" t="s">
        <v>25</v>
      </c>
      <c r="D58" s="3">
        <v>770</v>
      </c>
      <c r="E58" s="3"/>
    </row>
    <row r="59" spans="2:5">
      <c r="B59" s="2" t="s">
        <v>41</v>
      </c>
      <c r="C59" s="2" t="s">
        <v>28</v>
      </c>
      <c r="D59" s="3"/>
      <c r="E59" s="3">
        <f>+D56+D57+D58</f>
        <v>1280</v>
      </c>
    </row>
    <row r="60" spans="2:5">
      <c r="B60" s="2" t="s">
        <v>41</v>
      </c>
      <c r="C60" s="2" t="s">
        <v>16</v>
      </c>
      <c r="D60" s="3">
        <v>50000</v>
      </c>
      <c r="E60" s="3"/>
    </row>
    <row r="61" spans="2:5">
      <c r="B61" s="2" t="s">
        <v>41</v>
      </c>
      <c r="C61" s="2" t="s">
        <v>17</v>
      </c>
      <c r="D61" s="3">
        <v>50000</v>
      </c>
      <c r="E61" s="3"/>
    </row>
    <row r="62" spans="2:5">
      <c r="B62" s="2" t="s">
        <v>41</v>
      </c>
      <c r="C62" s="2" t="s">
        <v>18</v>
      </c>
      <c r="D62" s="3">
        <v>30000</v>
      </c>
      <c r="E62" s="3"/>
    </row>
    <row r="63" spans="2:5">
      <c r="B63" s="2" t="s">
        <v>41</v>
      </c>
      <c r="C63" s="2" t="s">
        <v>20</v>
      </c>
      <c r="D63" s="3"/>
      <c r="E63" s="3">
        <v>1300</v>
      </c>
    </row>
    <row r="64" spans="2:5">
      <c r="B64" s="2" t="s">
        <v>41</v>
      </c>
      <c r="C64" s="2" t="s">
        <v>6</v>
      </c>
      <c r="D64" s="3"/>
      <c r="E64" s="3">
        <f>+D60+D61+D62-E63</f>
        <v>128700</v>
      </c>
    </row>
    <row r="65" spans="2:5">
      <c r="B65" s="2" t="s">
        <v>43</v>
      </c>
      <c r="C65" s="2" t="s">
        <v>44</v>
      </c>
      <c r="D65" s="3">
        <v>75000</v>
      </c>
      <c r="E65" s="3"/>
    </row>
    <row r="66" spans="2:5">
      <c r="B66" s="2" t="s">
        <v>43</v>
      </c>
      <c r="C66" s="2" t="s">
        <v>6</v>
      </c>
      <c r="D66" s="3"/>
      <c r="E66" s="3">
        <f>+D65</f>
        <v>75000</v>
      </c>
    </row>
    <row r="67" spans="2:5">
      <c r="B67" s="2" t="s">
        <v>45</v>
      </c>
      <c r="C67" s="2" t="s">
        <v>16</v>
      </c>
      <c r="D67" s="3">
        <v>25000</v>
      </c>
      <c r="E67" s="3"/>
    </row>
    <row r="68" spans="2:5">
      <c r="B68" s="2" t="s">
        <v>45</v>
      </c>
      <c r="C68" s="2" t="s">
        <v>17</v>
      </c>
      <c r="D68" s="3">
        <v>25000</v>
      </c>
      <c r="E68" s="3"/>
    </row>
    <row r="69" spans="2:5">
      <c r="B69" s="2" t="s">
        <v>45</v>
      </c>
      <c r="C69" s="2" t="s">
        <v>20</v>
      </c>
      <c r="D69" s="3"/>
      <c r="E69" s="3">
        <v>500</v>
      </c>
    </row>
    <row r="70" spans="2:5">
      <c r="B70" s="2" t="s">
        <v>45</v>
      </c>
      <c r="C70" s="2" t="s">
        <v>6</v>
      </c>
      <c r="D70" s="3"/>
      <c r="E70" s="3">
        <v>49500</v>
      </c>
    </row>
    <row r="71" spans="2:5">
      <c r="B71" s="2" t="s">
        <v>46</v>
      </c>
      <c r="C71" s="2" t="s">
        <v>23</v>
      </c>
      <c r="D71" s="3">
        <v>90</v>
      </c>
      <c r="E71" s="3"/>
    </row>
    <row r="72" spans="2:5">
      <c r="B72" s="2" t="s">
        <v>46</v>
      </c>
      <c r="C72" s="2" t="s">
        <v>25</v>
      </c>
      <c r="D72" s="3">
        <v>775</v>
      </c>
      <c r="E72" s="3"/>
    </row>
    <row r="73" spans="2:5">
      <c r="B73" s="2" t="s">
        <v>46</v>
      </c>
      <c r="C73" s="2" t="s">
        <v>28</v>
      </c>
      <c r="D73" s="3"/>
      <c r="E73" s="3">
        <f>+D71+D72</f>
        <v>865</v>
      </c>
    </row>
    <row r="74" spans="2:5">
      <c r="B74" s="2" t="s">
        <v>47</v>
      </c>
      <c r="C74" s="2" t="s">
        <v>28</v>
      </c>
      <c r="D74" s="3">
        <v>20000</v>
      </c>
      <c r="E74" s="3"/>
    </row>
    <row r="75" spans="2:5">
      <c r="B75" s="2" t="s">
        <v>47</v>
      </c>
      <c r="C75" s="2" t="s">
        <v>6</v>
      </c>
      <c r="D75" s="3"/>
      <c r="E75" s="3">
        <f>+D74</f>
        <v>20000</v>
      </c>
    </row>
    <row r="76" spans="2:5">
      <c r="B76" s="2" t="s">
        <v>48</v>
      </c>
      <c r="C76" s="2" t="s">
        <v>49</v>
      </c>
      <c r="D76" s="3">
        <v>11500</v>
      </c>
      <c r="E76" s="3"/>
    </row>
    <row r="77" spans="2:5">
      <c r="B77" s="2" t="s">
        <v>48</v>
      </c>
      <c r="C77" s="2" t="s">
        <v>50</v>
      </c>
      <c r="D77" s="3"/>
      <c r="E77" s="3">
        <f>+D76*15%</f>
        <v>1725</v>
      </c>
    </row>
    <row r="78" spans="2:5">
      <c r="B78" s="2" t="s">
        <v>48</v>
      </c>
      <c r="C78" s="2" t="s">
        <v>28</v>
      </c>
      <c r="D78" s="3"/>
      <c r="E78" s="3">
        <f>+D76-E77</f>
        <v>9775</v>
      </c>
    </row>
    <row r="79" spans="2:5">
      <c r="B79" s="2" t="s">
        <v>48</v>
      </c>
      <c r="C79" s="2" t="s">
        <v>27</v>
      </c>
      <c r="D79" s="3">
        <v>1500</v>
      </c>
      <c r="E79" s="3"/>
    </row>
    <row r="80" spans="2:5">
      <c r="B80" s="2" t="s">
        <v>48</v>
      </c>
      <c r="C80" s="2" t="s">
        <v>51</v>
      </c>
      <c r="D80" s="3">
        <v>550</v>
      </c>
      <c r="E80" s="3"/>
    </row>
    <row r="81" spans="2:5">
      <c r="B81" s="2" t="s">
        <v>48</v>
      </c>
      <c r="C81" s="2" t="s">
        <v>28</v>
      </c>
      <c r="D81" s="3"/>
      <c r="E81" s="3">
        <f>+D79+D80</f>
        <v>2050</v>
      </c>
    </row>
    <row r="82" spans="2:5">
      <c r="B82" s="2" t="s">
        <v>52</v>
      </c>
      <c r="C82" s="2" t="s">
        <v>6</v>
      </c>
      <c r="D82" s="3">
        <v>3800000</v>
      </c>
      <c r="E82" s="3"/>
    </row>
    <row r="83" spans="2:5">
      <c r="B83" s="2" t="s">
        <v>52</v>
      </c>
      <c r="C83" s="2" t="s">
        <v>5</v>
      </c>
      <c r="D83" s="3"/>
      <c r="E83" s="3">
        <f>+D82</f>
        <v>3800000</v>
      </c>
    </row>
    <row r="84" spans="2:5">
      <c r="B84" s="2" t="s">
        <v>52</v>
      </c>
      <c r="C84" s="2" t="s">
        <v>53</v>
      </c>
      <c r="D84" s="3">
        <v>3700000</v>
      </c>
      <c r="E84" s="3"/>
    </row>
    <row r="85" spans="2:5">
      <c r="B85" s="2" t="s">
        <v>52</v>
      </c>
      <c r="C85" s="2" t="s">
        <v>6</v>
      </c>
      <c r="D85" s="3"/>
      <c r="E85" s="3">
        <f>+D84</f>
        <v>3700000</v>
      </c>
    </row>
    <row r="86" spans="2:5">
      <c r="B86" s="2" t="s">
        <v>52</v>
      </c>
      <c r="C86" s="2" t="s">
        <v>54</v>
      </c>
      <c r="D86" s="3">
        <v>113785</v>
      </c>
      <c r="E86" s="3"/>
    </row>
    <row r="87" spans="2:5">
      <c r="B87" s="2" t="s">
        <v>52</v>
      </c>
      <c r="C87" s="2" t="s">
        <v>6</v>
      </c>
      <c r="D87" s="3"/>
      <c r="E87" s="3">
        <f>+D86</f>
        <v>113785</v>
      </c>
    </row>
    <row r="88" spans="2:5">
      <c r="B88" s="2" t="s">
        <v>52</v>
      </c>
      <c r="C88" s="2" t="s">
        <v>55</v>
      </c>
      <c r="D88" s="3">
        <v>113785</v>
      </c>
      <c r="E88" s="3"/>
    </row>
    <row r="89" spans="2:5">
      <c r="B89" s="2" t="s">
        <v>52</v>
      </c>
      <c r="C89" s="2" t="s">
        <v>54</v>
      </c>
      <c r="D89" s="3"/>
      <c r="E89" s="3">
        <f>+D88</f>
        <v>113785</v>
      </c>
    </row>
    <row r="90" spans="2:5">
      <c r="B90" s="2" t="s">
        <v>56</v>
      </c>
      <c r="C90" s="2" t="s">
        <v>6</v>
      </c>
      <c r="D90" s="3">
        <v>200000</v>
      </c>
      <c r="E90" s="3"/>
    </row>
    <row r="91" spans="2:5">
      <c r="B91" s="2" t="s">
        <v>56</v>
      </c>
      <c r="C91" s="2" t="s">
        <v>57</v>
      </c>
      <c r="D91" s="3"/>
      <c r="E91" s="3">
        <f>+D90</f>
        <v>200000</v>
      </c>
    </row>
    <row r="92" spans="2:5">
      <c r="B92" s="2" t="s">
        <v>56</v>
      </c>
      <c r="C92" s="2" t="s">
        <v>16</v>
      </c>
      <c r="D92" s="3">
        <v>25000</v>
      </c>
      <c r="E92" s="3"/>
    </row>
    <row r="93" spans="2:5">
      <c r="B93" s="2" t="s">
        <v>56</v>
      </c>
      <c r="C93" s="2" t="s">
        <v>17</v>
      </c>
      <c r="D93" s="3">
        <v>25000</v>
      </c>
      <c r="E93" s="3"/>
    </row>
    <row r="94" spans="2:5">
      <c r="B94" s="2" t="s">
        <v>56</v>
      </c>
      <c r="C94" s="2" t="s">
        <v>20</v>
      </c>
      <c r="D94" s="3"/>
      <c r="E94" s="3">
        <v>500</v>
      </c>
    </row>
    <row r="95" spans="2:5">
      <c r="B95" s="2" t="s">
        <v>56</v>
      </c>
      <c r="C95" s="2" t="s">
        <v>6</v>
      </c>
      <c r="D95" s="3"/>
      <c r="E95" s="3">
        <v>49500</v>
      </c>
    </row>
    <row r="96" spans="2:5">
      <c r="B96" s="2" t="s">
        <v>56</v>
      </c>
      <c r="C96" s="2" t="s">
        <v>58</v>
      </c>
      <c r="D96" s="3">
        <v>124300</v>
      </c>
      <c r="E96" s="3"/>
    </row>
    <row r="97" spans="2:5">
      <c r="B97" s="2" t="s">
        <v>56</v>
      </c>
      <c r="C97" s="2" t="s">
        <v>6</v>
      </c>
      <c r="D97" s="3"/>
      <c r="E97" s="3">
        <f>+D96</f>
        <v>124300</v>
      </c>
    </row>
    <row r="98" spans="2:5">
      <c r="B98" s="2" t="s">
        <v>59</v>
      </c>
      <c r="C98" s="2" t="s">
        <v>39</v>
      </c>
      <c r="D98" s="3">
        <v>30000</v>
      </c>
      <c r="E98" s="3"/>
    </row>
    <row r="99" spans="2:5">
      <c r="B99" s="2" t="s">
        <v>59</v>
      </c>
      <c r="C99" s="2" t="s">
        <v>6</v>
      </c>
      <c r="D99" s="3"/>
      <c r="E99" s="3">
        <f>+D98</f>
        <v>30000</v>
      </c>
    </row>
    <row r="100" spans="2:5">
      <c r="B100" s="2" t="s">
        <v>60</v>
      </c>
      <c r="C100" s="2" t="s">
        <v>6</v>
      </c>
      <c r="D100" s="3">
        <v>1800000</v>
      </c>
      <c r="E100" s="3">
        <f>+D101</f>
        <v>0</v>
      </c>
    </row>
    <row r="101" spans="2:5">
      <c r="B101" s="2" t="s">
        <v>60</v>
      </c>
      <c r="C101" s="2" t="s">
        <v>61</v>
      </c>
      <c r="D101" s="3">
        <v>0</v>
      </c>
      <c r="E101" s="3">
        <f>+D100</f>
        <v>1800000</v>
      </c>
    </row>
    <row r="102" spans="2:5">
      <c r="B102" s="2" t="s">
        <v>60</v>
      </c>
      <c r="C102" s="2" t="s">
        <v>6</v>
      </c>
      <c r="D102" s="3">
        <v>200000</v>
      </c>
      <c r="E102" s="3"/>
    </row>
    <row r="103" spans="2:5">
      <c r="B103" s="2" t="s">
        <v>60</v>
      </c>
      <c r="C103" s="2" t="s">
        <v>61</v>
      </c>
      <c r="D103" s="3"/>
      <c r="E103" s="3">
        <f>+D102</f>
        <v>200000</v>
      </c>
    </row>
    <row r="104" spans="2:5">
      <c r="B104" s="2" t="s">
        <v>62</v>
      </c>
      <c r="C104" s="2" t="s">
        <v>63</v>
      </c>
      <c r="D104" s="3">
        <v>2000000</v>
      </c>
      <c r="E104" s="3"/>
    </row>
    <row r="105" spans="2:5">
      <c r="B105" s="2" t="s">
        <v>62</v>
      </c>
      <c r="C105" s="2" t="s">
        <v>6</v>
      </c>
      <c r="D105" s="3"/>
      <c r="E105" s="3">
        <f>+D104</f>
        <v>2000000</v>
      </c>
    </row>
    <row r="106" spans="2:5">
      <c r="B106" s="2" t="s">
        <v>64</v>
      </c>
      <c r="C106" s="2" t="s">
        <v>6</v>
      </c>
      <c r="D106" s="3">
        <v>19800000</v>
      </c>
      <c r="E106" s="3"/>
    </row>
    <row r="107" spans="2:5">
      <c r="B107" s="2" t="s">
        <v>64</v>
      </c>
      <c r="C107" s="2" t="s">
        <v>57</v>
      </c>
      <c r="D107" s="3"/>
      <c r="E107" s="3">
        <f>+D106</f>
        <v>19800000</v>
      </c>
    </row>
    <row r="108" spans="2:5">
      <c r="B108" s="2" t="s">
        <v>64</v>
      </c>
      <c r="C108" s="2" t="s">
        <v>16</v>
      </c>
      <c r="D108" s="3">
        <v>50000</v>
      </c>
      <c r="E108" s="3"/>
    </row>
    <row r="109" spans="2:5">
      <c r="B109" s="2" t="s">
        <v>64</v>
      </c>
      <c r="C109" s="2" t="s">
        <v>20</v>
      </c>
      <c r="D109" s="3"/>
      <c r="E109" s="3">
        <v>500</v>
      </c>
    </row>
    <row r="110" spans="2:5">
      <c r="B110" s="2" t="s">
        <v>64</v>
      </c>
      <c r="C110" s="2" t="s">
        <v>6</v>
      </c>
      <c r="D110" s="3"/>
      <c r="E110" s="3">
        <v>49500</v>
      </c>
    </row>
    <row r="111" spans="2:5">
      <c r="B111" s="2" t="s">
        <v>64</v>
      </c>
      <c r="C111" s="2" t="s">
        <v>17</v>
      </c>
      <c r="D111" s="3">
        <v>50000</v>
      </c>
      <c r="E111" s="3"/>
    </row>
    <row r="112" spans="2:5">
      <c r="B112" s="2" t="s">
        <v>64</v>
      </c>
      <c r="C112" s="2" t="s">
        <v>20</v>
      </c>
      <c r="D112" s="3"/>
      <c r="E112" s="3">
        <v>500</v>
      </c>
    </row>
    <row r="113" spans="2:5">
      <c r="B113" s="2" t="s">
        <v>64</v>
      </c>
      <c r="C113" s="2" t="s">
        <v>6</v>
      </c>
      <c r="D113" s="3"/>
      <c r="E113" s="3">
        <v>49500</v>
      </c>
    </row>
    <row r="114" spans="2:5">
      <c r="B114" s="2" t="s">
        <v>64</v>
      </c>
      <c r="C114" s="2" t="s">
        <v>65</v>
      </c>
      <c r="D114" s="3">
        <v>12000000</v>
      </c>
      <c r="E114" s="3"/>
    </row>
    <row r="115" spans="2:5">
      <c r="B115" s="2" t="s">
        <v>64</v>
      </c>
      <c r="C115" s="2" t="s">
        <v>6</v>
      </c>
      <c r="D115" s="3"/>
      <c r="E115" s="3">
        <f>+D114</f>
        <v>12000000</v>
      </c>
    </row>
    <row r="116" spans="2:5">
      <c r="B116" s="2" t="s">
        <v>64</v>
      </c>
      <c r="C116" s="2" t="s">
        <v>66</v>
      </c>
      <c r="D116" s="3">
        <v>500000</v>
      </c>
      <c r="E116" s="3"/>
    </row>
    <row r="117" spans="2:5">
      <c r="B117" s="2" t="s">
        <v>64</v>
      </c>
      <c r="C117" s="2" t="s">
        <v>6</v>
      </c>
      <c r="D117" s="3"/>
      <c r="E117" s="3">
        <f>+D116</f>
        <v>500000</v>
      </c>
    </row>
    <row r="118" spans="2:5">
      <c r="B118" s="2" t="s">
        <v>64</v>
      </c>
      <c r="C118" s="2" t="s">
        <v>67</v>
      </c>
      <c r="D118" s="3">
        <v>500000</v>
      </c>
      <c r="E118" s="3"/>
    </row>
    <row r="119" spans="2:5">
      <c r="B119" s="2" t="s">
        <v>64</v>
      </c>
      <c r="C119" s="2" t="s">
        <v>6</v>
      </c>
      <c r="D119" s="3"/>
      <c r="E119" s="3">
        <v>500000</v>
      </c>
    </row>
    <row r="120" spans="2:5">
      <c r="B120" s="2" t="s">
        <v>68</v>
      </c>
      <c r="C120" s="2" t="s">
        <v>69</v>
      </c>
      <c r="D120" s="3">
        <v>220000</v>
      </c>
      <c r="E120" s="3"/>
    </row>
    <row r="121" spans="2:5">
      <c r="B121" s="2" t="s">
        <v>68</v>
      </c>
      <c r="C121" s="2" t="s">
        <v>6</v>
      </c>
      <c r="D121" s="3"/>
      <c r="E121" s="3">
        <f>+D120</f>
        <v>220000</v>
      </c>
    </row>
    <row r="122" spans="2:5">
      <c r="B122" s="2" t="s">
        <v>64</v>
      </c>
      <c r="C122" s="2" t="s">
        <v>70</v>
      </c>
      <c r="D122" s="3">
        <v>2000</v>
      </c>
      <c r="E122" s="3"/>
    </row>
    <row r="123" spans="2:5">
      <c r="B123" s="2" t="s">
        <v>64</v>
      </c>
      <c r="C123" s="2" t="s">
        <v>6</v>
      </c>
      <c r="D123" s="3"/>
      <c r="E123" s="3">
        <f>+D122</f>
        <v>2000</v>
      </c>
    </row>
    <row r="124" spans="2:5">
      <c r="B124" s="2" t="s">
        <v>64</v>
      </c>
      <c r="C124" s="2" t="s">
        <v>9</v>
      </c>
      <c r="D124" s="3">
        <v>780000</v>
      </c>
      <c r="E124" s="3"/>
    </row>
    <row r="125" spans="2:5">
      <c r="B125" s="2" t="s">
        <v>64</v>
      </c>
      <c r="C125" s="2" t="s">
        <v>6</v>
      </c>
      <c r="D125" s="3"/>
      <c r="E125" s="3">
        <f>+D124</f>
        <v>780000</v>
      </c>
    </row>
    <row r="126" spans="2:5">
      <c r="B126" s="2" t="s">
        <v>68</v>
      </c>
      <c r="C126" s="2" t="s">
        <v>53</v>
      </c>
      <c r="D126" s="3">
        <v>600000</v>
      </c>
      <c r="E126" s="3"/>
    </row>
    <row r="127" spans="2:5">
      <c r="B127" s="2" t="s">
        <v>68</v>
      </c>
      <c r="C127" s="2" t="s">
        <v>6</v>
      </c>
      <c r="D127" s="3"/>
      <c r="E127" s="3">
        <f>+D126</f>
        <v>600000</v>
      </c>
    </row>
    <row r="128" spans="2:5">
      <c r="B128" s="2" t="s">
        <v>68</v>
      </c>
      <c r="C128" s="2" t="s">
        <v>53</v>
      </c>
      <c r="D128" s="3">
        <v>2000000</v>
      </c>
      <c r="E128" s="3"/>
    </row>
    <row r="129" spans="2:5">
      <c r="B129" s="2" t="s">
        <v>68</v>
      </c>
      <c r="C129" s="2" t="s">
        <v>6</v>
      </c>
      <c r="D129" s="3"/>
      <c r="E129" s="3">
        <f>+D128</f>
        <v>2000000</v>
      </c>
    </row>
    <row r="130" spans="2:5">
      <c r="B130" s="2" t="s">
        <v>68</v>
      </c>
      <c r="C130" s="2" t="s">
        <v>37</v>
      </c>
      <c r="D130" s="3">
        <v>198000</v>
      </c>
      <c r="E130" s="3"/>
    </row>
    <row r="131" spans="2:5">
      <c r="B131" s="2" t="s">
        <v>68</v>
      </c>
      <c r="C131" s="2" t="s">
        <v>6</v>
      </c>
      <c r="D131" s="3"/>
      <c r="E131" s="3">
        <f>+D130</f>
        <v>198000</v>
      </c>
    </row>
    <row r="132" spans="2:5">
      <c r="B132" s="2" t="s">
        <v>64</v>
      </c>
      <c r="C132" s="2" t="s">
        <v>11</v>
      </c>
      <c r="D132" s="3">
        <v>1935000</v>
      </c>
      <c r="E132" s="3"/>
    </row>
    <row r="133" spans="2:5">
      <c r="B133" s="2" t="s">
        <v>64</v>
      </c>
      <c r="C133" s="2" t="s">
        <v>6</v>
      </c>
      <c r="D133" s="3"/>
      <c r="E133" s="3">
        <f>+D132</f>
        <v>1935000</v>
      </c>
    </row>
    <row r="134" spans="2:5">
      <c r="B134" s="2" t="s">
        <v>64</v>
      </c>
      <c r="C134" s="2" t="s">
        <v>33</v>
      </c>
      <c r="D134" s="6">
        <v>264812</v>
      </c>
      <c r="E134" s="6"/>
    </row>
    <row r="135" spans="2:5">
      <c r="B135" s="2" t="s">
        <v>64</v>
      </c>
      <c r="C135" s="2" t="s">
        <v>6</v>
      </c>
      <c r="D135" s="3"/>
      <c r="E135" s="3">
        <f>+D134</f>
        <v>264812</v>
      </c>
    </row>
    <row r="136" spans="2:5">
      <c r="B136" s="2" t="s">
        <v>64</v>
      </c>
      <c r="C136" s="2" t="s">
        <v>71</v>
      </c>
      <c r="D136" s="3">
        <v>700000</v>
      </c>
      <c r="E136" s="3"/>
    </row>
    <row r="137" spans="2:5">
      <c r="B137" s="2" t="s">
        <v>64</v>
      </c>
      <c r="C137" s="2" t="s">
        <v>6</v>
      </c>
      <c r="D137" s="3"/>
      <c r="E137" s="3">
        <f>+D136</f>
        <v>700000</v>
      </c>
    </row>
    <row r="138" spans="2:5">
      <c r="B138" s="2" t="s">
        <v>72</v>
      </c>
      <c r="C138" s="2" t="s">
        <v>28</v>
      </c>
      <c r="D138" s="3">
        <v>40000</v>
      </c>
      <c r="E138" s="3"/>
    </row>
    <row r="139" spans="2:5">
      <c r="B139" s="2" t="s">
        <v>72</v>
      </c>
      <c r="C139" s="2" t="s">
        <v>73</v>
      </c>
      <c r="D139" s="3"/>
      <c r="E139" s="3">
        <f>+D138</f>
        <v>40000</v>
      </c>
    </row>
    <row r="140" spans="2:5">
      <c r="B140" s="2" t="s">
        <v>72</v>
      </c>
      <c r="C140" s="2" t="s">
        <v>49</v>
      </c>
      <c r="D140" s="3">
        <v>37000</v>
      </c>
      <c r="E140" s="3"/>
    </row>
    <row r="141" spans="2:5">
      <c r="B141" s="2" t="s">
        <v>72</v>
      </c>
      <c r="C141" s="2" t="s">
        <v>50</v>
      </c>
      <c r="D141" s="3"/>
      <c r="E141" s="3">
        <f>+D140*15%</f>
        <v>5550</v>
      </c>
    </row>
    <row r="142" spans="2:5">
      <c r="B142" s="2" t="s">
        <v>72</v>
      </c>
      <c r="C142" s="2" t="s">
        <v>28</v>
      </c>
      <c r="D142" s="3"/>
      <c r="E142" s="3">
        <f>+D140-E141</f>
        <v>31450</v>
      </c>
    </row>
  </sheetData>
  <autoFilter ref="B2:E142" xr:uid="{B29B5FF5-4879-42C8-BDF7-23C601F49349}"/>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1339A-24EA-48B4-B7AB-C08D7611759C}">
  <dimension ref="B2:E17"/>
  <sheetViews>
    <sheetView workbookViewId="0">
      <selection activeCell="D9" sqref="D9"/>
    </sheetView>
  </sheetViews>
  <sheetFormatPr defaultRowHeight="14.5"/>
  <cols>
    <col min="2" max="2" width="9.90625" bestFit="1" customWidth="1"/>
    <col min="3" max="3" width="39.1796875" bestFit="1" customWidth="1"/>
    <col min="4" max="5" width="11.1796875" bestFit="1" customWidth="1"/>
  </cols>
  <sheetData>
    <row r="2" spans="2:5">
      <c r="B2" s="1" t="s">
        <v>0</v>
      </c>
      <c r="C2" s="1" t="s">
        <v>1</v>
      </c>
      <c r="D2" s="1" t="s">
        <v>2</v>
      </c>
      <c r="E2" s="1" t="s">
        <v>3</v>
      </c>
    </row>
    <row r="3" spans="2:5">
      <c r="B3" s="2" t="s">
        <v>99</v>
      </c>
      <c r="C3" s="2" t="s">
        <v>100</v>
      </c>
      <c r="D3" s="3">
        <v>545083.75</v>
      </c>
      <c r="E3" s="3"/>
    </row>
    <row r="4" spans="2:5">
      <c r="B4" s="2" t="s">
        <v>99</v>
      </c>
      <c r="C4" s="2" t="s">
        <v>35</v>
      </c>
      <c r="D4" s="3"/>
      <c r="E4" s="3">
        <f>482375*1.5%</f>
        <v>7235.625</v>
      </c>
    </row>
    <row r="5" spans="2:5">
      <c r="B5" s="2" t="s">
        <v>99</v>
      </c>
      <c r="C5" s="2" t="s">
        <v>101</v>
      </c>
      <c r="D5" s="3"/>
      <c r="E5" s="3">
        <f>+D3-E4</f>
        <v>537848.125</v>
      </c>
    </row>
    <row r="6" spans="2:5">
      <c r="B6" s="2" t="s">
        <v>82</v>
      </c>
      <c r="C6" s="2" t="s">
        <v>102</v>
      </c>
      <c r="D6" s="2">
        <v>2000</v>
      </c>
      <c r="E6" s="2"/>
    </row>
    <row r="7" spans="2:5">
      <c r="B7" s="2" t="s">
        <v>82</v>
      </c>
      <c r="C7" s="2" t="s">
        <v>28</v>
      </c>
      <c r="D7" s="2"/>
      <c r="E7" s="2">
        <f>+D6</f>
        <v>2000</v>
      </c>
    </row>
    <row r="8" spans="2:5">
      <c r="B8" s="2" t="s">
        <v>82</v>
      </c>
      <c r="C8" s="2" t="s">
        <v>102</v>
      </c>
      <c r="D8" s="2">
        <v>210</v>
      </c>
      <c r="E8" s="2"/>
    </row>
    <row r="9" spans="2:5">
      <c r="B9" s="2" t="s">
        <v>82</v>
      </c>
      <c r="C9" s="2" t="s">
        <v>28</v>
      </c>
      <c r="D9" s="2"/>
      <c r="E9" s="2">
        <f>+D8</f>
        <v>210</v>
      </c>
    </row>
    <row r="10" spans="2:5">
      <c r="B10" s="2" t="s">
        <v>103</v>
      </c>
      <c r="C10" s="2" t="s">
        <v>55</v>
      </c>
      <c r="D10" s="2">
        <f>9311+9311+38044+14800+9311+7700+8491+9511+9511</f>
        <v>115990</v>
      </c>
      <c r="E10" s="2"/>
    </row>
    <row r="11" spans="2:5">
      <c r="B11" s="2" t="s">
        <v>103</v>
      </c>
      <c r="C11" s="2" t="s">
        <v>104</v>
      </c>
      <c r="D11" s="2"/>
      <c r="E11" s="2">
        <f>+D10</f>
        <v>115990</v>
      </c>
    </row>
    <row r="12" spans="2:5">
      <c r="B12" s="2" t="s">
        <v>103</v>
      </c>
      <c r="C12" s="2" t="s">
        <v>76</v>
      </c>
      <c r="D12" s="2">
        <v>2101</v>
      </c>
      <c r="E12" s="2"/>
    </row>
    <row r="13" spans="2:5">
      <c r="B13" s="2" t="s">
        <v>103</v>
      </c>
      <c r="C13" s="2" t="s">
        <v>6</v>
      </c>
      <c r="D13" s="2"/>
      <c r="E13" s="2">
        <v>2101</v>
      </c>
    </row>
    <row r="14" spans="2:5">
      <c r="B14" s="2" t="s">
        <v>103</v>
      </c>
      <c r="C14" s="2" t="s">
        <v>105</v>
      </c>
      <c r="D14" s="2">
        <v>15000</v>
      </c>
      <c r="E14" s="2"/>
    </row>
    <row r="15" spans="2:5">
      <c r="B15" s="2" t="s">
        <v>103</v>
      </c>
      <c r="C15" s="2" t="s">
        <v>55</v>
      </c>
      <c r="D15" s="2">
        <v>9311</v>
      </c>
      <c r="E15" s="2"/>
    </row>
    <row r="16" spans="2:5">
      <c r="B16" s="2" t="s">
        <v>103</v>
      </c>
      <c r="C16" s="2" t="s">
        <v>50</v>
      </c>
      <c r="D16" s="2"/>
      <c r="E16" s="2">
        <f>+D14*15%</f>
        <v>2250</v>
      </c>
    </row>
    <row r="17" spans="2:5">
      <c r="B17" s="2" t="s">
        <v>103</v>
      </c>
      <c r="C17" s="2" t="s">
        <v>106</v>
      </c>
      <c r="D17" s="2"/>
      <c r="E17" s="2">
        <f>+D14+D15-E16</f>
        <v>22061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36B9E-3D71-42F4-BDDF-EE8D5AD26843}">
  <dimension ref="A1:G47"/>
  <sheetViews>
    <sheetView workbookViewId="0">
      <selection activeCell="D17" sqref="D17"/>
    </sheetView>
  </sheetViews>
  <sheetFormatPr defaultRowHeight="14.5"/>
  <cols>
    <col min="1" max="1" width="36.90625" bestFit="1" customWidth="1"/>
    <col min="2" max="2" width="17.7265625" hidden="1" customWidth="1"/>
    <col min="3" max="3" width="16" hidden="1" customWidth="1"/>
    <col min="4" max="5" width="17.26953125" customWidth="1"/>
  </cols>
  <sheetData>
    <row r="1" spans="1:7">
      <c r="B1" s="331" t="s">
        <v>110</v>
      </c>
      <c r="C1" s="331"/>
      <c r="D1" s="331" t="s">
        <v>111</v>
      </c>
      <c r="E1" s="331"/>
      <c r="F1" s="331" t="s">
        <v>112</v>
      </c>
      <c r="G1" s="331"/>
    </row>
    <row r="2" spans="1:7">
      <c r="A2" s="7" t="s">
        <v>1</v>
      </c>
      <c r="B2" s="7" t="s">
        <v>107</v>
      </c>
      <c r="C2" s="7" t="s">
        <v>108</v>
      </c>
      <c r="D2" s="7" t="s">
        <v>107</v>
      </c>
      <c r="E2" s="7" t="s">
        <v>108</v>
      </c>
      <c r="F2" s="7" t="s">
        <v>107</v>
      </c>
      <c r="G2" s="7" t="s">
        <v>108</v>
      </c>
    </row>
    <row r="3" spans="1:7">
      <c r="A3" t="s">
        <v>5</v>
      </c>
      <c r="D3" s="11">
        <f>MAX(SUMIF('JV 2082.04.01-10.18'!C:C,$A3,'JV 2082.04.01-10.18'!D:D)-SUMIF('JV 2082.04.01-10.18'!C:C,$A3,'JV 2082.04.01-10.18'!E:E),0)</f>
        <v>0</v>
      </c>
      <c r="E3" s="11">
        <f>MAX(SUMIF('JV 2082.04.01-10.18'!C:C,$A3,'JV 2082.04.01-10.18'!E:E)-SUMIF('JV 2082.04.01-10.18'!C:C,$A3,'JV 2082.04.01-10.18'!D:D),0)</f>
        <v>3200000</v>
      </c>
    </row>
    <row r="4" spans="1:7">
      <c r="A4" t="s">
        <v>6</v>
      </c>
      <c r="D4" s="11">
        <f>MAX(SUMIF('JV 2082.04.01-10.18'!C:C,$A4,'JV 2082.04.01-10.18'!D:D)-SUMIF('JV 2082.04.01-10.18'!C:C,$A4,'JV 2082.04.01-10.18'!E:E),0)</f>
        <v>0</v>
      </c>
      <c r="E4" s="11">
        <f>MAX(SUMIF('JV 2082.04.01-10.18'!C:C,$A4,'JV 2082.04.01-10.18'!E:E)-SUMIF('JV 2082.04.01-10.18'!C:C,$A4,'JV 2082.04.01-10.18'!D:D),0)</f>
        <v>838559.5</v>
      </c>
    </row>
    <row r="5" spans="1:7">
      <c r="A5" t="s">
        <v>9</v>
      </c>
      <c r="D5" s="11">
        <f>MAX(SUMIF('JV 2082.04.01-10.18'!C:C,$A5,'JV 2082.04.01-10.18'!D:D)-SUMIF('JV 2082.04.01-10.18'!C:C,$A5,'JV 2082.04.01-10.18'!E:E),0)</f>
        <v>260000</v>
      </c>
      <c r="E5" s="11">
        <f>MAX(SUMIF('JV 2082.04.01-10.18'!C:C,$A5,'JV 2082.04.01-10.18'!E:E)-SUMIF('JV 2082.04.01-10.18'!C:C,$A5,'JV 2082.04.01-10.18'!D:D),0)</f>
        <v>0</v>
      </c>
    </row>
    <row r="6" spans="1:7">
      <c r="A6" t="s">
        <v>11</v>
      </c>
      <c r="D6" s="11">
        <f>MAX(SUMIF('JV 2082.04.01-10.18'!C:C,$A6,'JV 2082.04.01-10.18'!D:D)-SUMIF('JV 2082.04.01-10.18'!C:C,$A6,'JV 2082.04.01-10.18'!E:E),0)</f>
        <v>2310000</v>
      </c>
      <c r="E6" s="11">
        <f>MAX(SUMIF('JV 2082.04.01-10.18'!C:C,$A6,'JV 2082.04.01-10.18'!E:E)-SUMIF('JV 2082.04.01-10.18'!C:C,$A6,'JV 2082.04.01-10.18'!D:D),0)</f>
        <v>0</v>
      </c>
    </row>
    <row r="7" spans="1:7">
      <c r="A7" t="s">
        <v>12</v>
      </c>
      <c r="D7" s="11">
        <f>MAX(SUMIF('JV 2082.04.01-10.18'!C:C,$A7,'JV 2082.04.01-10.18'!D:D)-SUMIF('JV 2082.04.01-10.18'!C:C,$A7,'JV 2082.04.01-10.18'!E:E),0)</f>
        <v>1000000</v>
      </c>
      <c r="E7" s="11">
        <f>MAX(SUMIF('JV 2082.04.01-10.18'!C:C,$A7,'JV 2082.04.01-10.18'!E:E)-SUMIF('JV 2082.04.01-10.18'!C:C,$A7,'JV 2082.04.01-10.18'!D:D),0)</f>
        <v>0</v>
      </c>
    </row>
    <row r="8" spans="1:7">
      <c r="A8" t="s">
        <v>14</v>
      </c>
      <c r="D8" s="11">
        <f>MAX(SUMIF('JV 2082.04.01-10.18'!C:C,$A8,'JV 2082.04.01-10.18'!D:D)-SUMIF('JV 2082.04.01-10.18'!C:C,$A8,'JV 2082.04.01-10.18'!E:E),0)</f>
        <v>0</v>
      </c>
      <c r="E8" s="11">
        <f>MAX(SUMIF('JV 2082.04.01-10.18'!C:C,$A8,'JV 2082.04.01-10.18'!E:E)-SUMIF('JV 2082.04.01-10.18'!C:C,$A8,'JV 2082.04.01-10.18'!D:D),0)</f>
        <v>700000</v>
      </c>
    </row>
    <row r="9" spans="1:7">
      <c r="A9" t="s">
        <v>16</v>
      </c>
      <c r="D9" s="11">
        <f>MAX(SUMIF('JV 2082.04.01-10.18'!C:C,$A9,'JV 2082.04.01-10.18'!D:D)-SUMIF('JV 2082.04.01-10.18'!C:C,$A9,'JV 2082.04.01-10.18'!E:E),0)</f>
        <v>175000</v>
      </c>
      <c r="E9" s="11">
        <f>MAX(SUMIF('JV 2082.04.01-10.18'!C:C,$A9,'JV 2082.04.01-10.18'!E:E)-SUMIF('JV 2082.04.01-10.18'!C:C,$A9,'JV 2082.04.01-10.18'!D:D),0)</f>
        <v>0</v>
      </c>
    </row>
    <row r="10" spans="1:7">
      <c r="A10" t="s">
        <v>17</v>
      </c>
      <c r="D10" s="11">
        <f>MAX(SUMIF('JV 2082.04.01-10.18'!C:C,$A10,'JV 2082.04.01-10.18'!D:D)-SUMIF('JV 2082.04.01-10.18'!C:C,$A10,'JV 2082.04.01-10.18'!E:E),0)</f>
        <v>175000</v>
      </c>
      <c r="E10" s="11">
        <f>MAX(SUMIF('JV 2082.04.01-10.18'!C:C,$A10,'JV 2082.04.01-10.18'!E:E)-SUMIF('JV 2082.04.01-10.18'!C:C,$A10,'JV 2082.04.01-10.18'!D:D),0)</f>
        <v>0</v>
      </c>
    </row>
    <row r="11" spans="1:7">
      <c r="A11" t="s">
        <v>18</v>
      </c>
      <c r="D11" s="11">
        <f>MAX(SUMIF('JV 2082.04.01-10.18'!C:C,$A11,'JV 2082.04.01-10.18'!D:D)-SUMIF('JV 2082.04.01-10.18'!C:C,$A11,'JV 2082.04.01-10.18'!E:E),0)</f>
        <v>45000</v>
      </c>
      <c r="E11" s="11">
        <f>MAX(SUMIF('JV 2082.04.01-10.18'!C:C,$A11,'JV 2082.04.01-10.18'!E:E)-SUMIF('JV 2082.04.01-10.18'!C:C,$A11,'JV 2082.04.01-10.18'!D:D),0)</f>
        <v>0</v>
      </c>
    </row>
    <row r="12" spans="1:7">
      <c r="A12" t="s">
        <v>19</v>
      </c>
      <c r="D12" s="11">
        <f>MAX(SUMIF('JV 2082.04.01-10.18'!C:C,$A12,'JV 2082.04.01-10.18'!D:D)-SUMIF('JV 2082.04.01-10.18'!C:C,$A12,'JV 2082.04.01-10.18'!E:E),0)</f>
        <v>20000</v>
      </c>
      <c r="E12" s="11">
        <f>MAX(SUMIF('JV 2082.04.01-10.18'!C:C,$A12,'JV 2082.04.01-10.18'!E:E)-SUMIF('JV 2082.04.01-10.18'!C:C,$A12,'JV 2082.04.01-10.18'!D:D),0)</f>
        <v>0</v>
      </c>
    </row>
    <row r="13" spans="1:7">
      <c r="A13" t="s">
        <v>20</v>
      </c>
      <c r="D13" s="11">
        <f>MAX(SUMIF('JV 2082.04.01-10.18'!C:C,$A13,'JV 2082.04.01-10.18'!D:D)-SUMIF('JV 2082.04.01-10.18'!C:C,$A13,'JV 2082.04.01-10.18'!E:E),0)</f>
        <v>0</v>
      </c>
      <c r="E13" s="11">
        <f>MAX(SUMIF('JV 2082.04.01-10.18'!C:C,$A13,'JV 2082.04.01-10.18'!E:E)-SUMIF('JV 2082.04.01-10.18'!C:C,$A13,'JV 2082.04.01-10.18'!D:D),0)</f>
        <v>4150</v>
      </c>
    </row>
    <row r="14" spans="1:7">
      <c r="A14" t="s">
        <v>23</v>
      </c>
      <c r="D14" s="11">
        <f>MAX(SUMIF('JV 2082.04.01-10.18'!C:C,$A14,'JV 2082.04.01-10.18'!D:D)-SUMIF('JV 2082.04.01-10.18'!C:C,$A14,'JV 2082.04.01-10.18'!E:E),0)</f>
        <v>6965</v>
      </c>
      <c r="E14" s="11">
        <f>MAX(SUMIF('JV 2082.04.01-10.18'!C:C,$A14,'JV 2082.04.01-10.18'!E:E)-SUMIF('JV 2082.04.01-10.18'!C:C,$A14,'JV 2082.04.01-10.18'!D:D),0)</f>
        <v>0</v>
      </c>
    </row>
    <row r="15" spans="1:7">
      <c r="A15" t="s">
        <v>24</v>
      </c>
      <c r="D15" s="11">
        <f>MAX(SUMIF('JV 2082.04.01-10.18'!C:C,$A15,'JV 2082.04.01-10.18'!D:D)-SUMIF('JV 2082.04.01-10.18'!C:C,$A15,'JV 2082.04.01-10.18'!E:E),0)</f>
        <v>1140</v>
      </c>
      <c r="E15" s="11">
        <f>MAX(SUMIF('JV 2082.04.01-10.18'!C:C,$A15,'JV 2082.04.01-10.18'!E:E)-SUMIF('JV 2082.04.01-10.18'!C:C,$A15,'JV 2082.04.01-10.18'!D:D),0)</f>
        <v>0</v>
      </c>
    </row>
    <row r="16" spans="1:7">
      <c r="A16" t="s">
        <v>25</v>
      </c>
      <c r="D16" s="11">
        <f>MAX(SUMIF('JV 2082.04.01-10.18'!C:C,$A16,'JV 2082.04.01-10.18'!D:D)-SUMIF('JV 2082.04.01-10.18'!C:C,$A16,'JV 2082.04.01-10.18'!E:E),0)</f>
        <v>2305</v>
      </c>
      <c r="E16" s="11">
        <f>MAX(SUMIF('JV 2082.04.01-10.18'!C:C,$A16,'JV 2082.04.01-10.18'!E:E)-SUMIF('JV 2082.04.01-10.18'!C:C,$A16,'JV 2082.04.01-10.18'!D:D),0)</f>
        <v>0</v>
      </c>
    </row>
    <row r="17" spans="1:5">
      <c r="A17" t="s">
        <v>26</v>
      </c>
      <c r="D17" s="11">
        <f>MAX(SUMIF('JV 2082.04.01-10.18'!C:C,$A17,'JV 2082.04.01-10.18'!D:D)-SUMIF('JV 2082.04.01-10.18'!C:C,$A17,'JV 2082.04.01-10.18'!E:E),0)</f>
        <v>4000</v>
      </c>
      <c r="E17" s="11">
        <f>MAX(SUMIF('JV 2082.04.01-10.18'!C:C,$A17,'JV 2082.04.01-10.18'!E:E)-SUMIF('JV 2082.04.01-10.18'!C:C,$A17,'JV 2082.04.01-10.18'!D:D),0)</f>
        <v>0</v>
      </c>
    </row>
    <row r="18" spans="1:5">
      <c r="A18" t="s">
        <v>27</v>
      </c>
      <c r="D18" s="11">
        <f>MAX(SUMIF('JV 2082.04.01-10.18'!C:C,$A18,'JV 2082.04.01-10.18'!D:D)-SUMIF('JV 2082.04.01-10.18'!C:C,$A18,'JV 2082.04.01-10.18'!E:E),0)</f>
        <v>4590</v>
      </c>
      <c r="E18" s="11">
        <f>MAX(SUMIF('JV 2082.04.01-10.18'!C:C,$A18,'JV 2082.04.01-10.18'!E:E)-SUMIF('JV 2082.04.01-10.18'!C:C,$A18,'JV 2082.04.01-10.18'!D:D),0)</f>
        <v>0</v>
      </c>
    </row>
    <row r="19" spans="1:5">
      <c r="A19" t="s">
        <v>28</v>
      </c>
      <c r="D19" s="11">
        <f>MAX(SUMIF('JV 2082.04.01-10.18'!C:C,$A19,'JV 2082.04.01-10.18'!D:D)-SUMIF('JV 2082.04.01-10.18'!C:C,$A19,'JV 2082.04.01-10.18'!E:E),0)</f>
        <v>9225</v>
      </c>
      <c r="E19" s="11">
        <f>MAX(SUMIF('JV 2082.04.01-10.18'!C:C,$A19,'JV 2082.04.01-10.18'!E:E)-SUMIF('JV 2082.04.01-10.18'!C:C,$A19,'JV 2082.04.01-10.18'!D:D),0)</f>
        <v>0</v>
      </c>
    </row>
    <row r="20" spans="1:5">
      <c r="A20" t="s">
        <v>31</v>
      </c>
      <c r="D20" s="11">
        <f>MAX(SUMIF('JV 2082.04.01-10.18'!C:C,$A20,'JV 2082.04.01-10.18'!D:D)-SUMIF('JV 2082.04.01-10.18'!C:C,$A20,'JV 2082.04.01-10.18'!E:E),0)</f>
        <v>0</v>
      </c>
      <c r="E20" s="11">
        <f>MAX(SUMIF('JV 2082.04.01-10.18'!C:C,$A20,'JV 2082.04.01-10.18'!E:E)-SUMIF('JV 2082.04.01-10.18'!C:C,$A20,'JV 2082.04.01-10.18'!D:D),0)</f>
        <v>40000</v>
      </c>
    </row>
    <row r="21" spans="1:5">
      <c r="A21" t="s">
        <v>32</v>
      </c>
      <c r="D21" s="11">
        <f>MAX(SUMIF('JV 2082.04.01-10.18'!C:C,$A21,'JV 2082.04.01-10.18'!D:D)-SUMIF('JV 2082.04.01-10.18'!C:C,$A21,'JV 2082.04.01-10.18'!E:E),0)</f>
        <v>0</v>
      </c>
      <c r="E21" s="11">
        <f>MAX(SUMIF('JV 2082.04.01-10.18'!C:C,$A21,'JV 2082.04.01-10.18'!E:E)-SUMIF('JV 2082.04.01-10.18'!C:C,$A21,'JV 2082.04.01-10.18'!D:D),0)</f>
        <v>25000</v>
      </c>
    </row>
    <row r="22" spans="1:5">
      <c r="A22" t="s">
        <v>33</v>
      </c>
      <c r="D22" s="11">
        <f>MAX(SUMIF('JV 2082.04.01-10.18'!C:C,$A22,'JV 2082.04.01-10.18'!D:D)-SUMIF('JV 2082.04.01-10.18'!C:C,$A22,'JV 2082.04.01-10.18'!E:E),0)</f>
        <v>529624.5</v>
      </c>
      <c r="E22" s="11">
        <f>MAX(SUMIF('JV 2082.04.01-10.18'!C:C,$A22,'JV 2082.04.01-10.18'!E:E)-SUMIF('JV 2082.04.01-10.18'!C:C,$A22,'JV 2082.04.01-10.18'!D:D),0)</f>
        <v>0</v>
      </c>
    </row>
    <row r="23" spans="1:5">
      <c r="A23" t="s">
        <v>34</v>
      </c>
      <c r="D23" s="11">
        <f>MAX(SUMIF('JV 2082.04.01-10.18'!C:C,$A23,'JV 2082.04.01-10.18'!D:D)-SUMIF('JV 2082.04.01-10.18'!C:C,$A23,'JV 2082.04.01-10.18'!E:E),0)</f>
        <v>0</v>
      </c>
      <c r="E23" s="11">
        <f>MAX(SUMIF('JV 2082.04.01-10.18'!C:C,$A23,'JV 2082.04.01-10.18'!E:E)-SUMIF('JV 2082.04.01-10.18'!C:C,$A23,'JV 2082.04.01-10.18'!D:D),0)</f>
        <v>0</v>
      </c>
    </row>
    <row r="24" spans="1:5">
      <c r="A24" t="s">
        <v>35</v>
      </c>
      <c r="D24" s="11">
        <f>MAX(SUMIF('JV 2082.04.01-10.18'!C:C,$A24,'JV 2082.04.01-10.18'!D:D)-SUMIF('JV 2082.04.01-10.18'!C:C,$A24,'JV 2082.04.01-10.18'!E:E),0)</f>
        <v>0</v>
      </c>
      <c r="E24" s="11">
        <f>MAX(SUMIF('JV 2082.04.01-10.18'!C:C,$A24,'JV 2082.04.01-10.18'!E:E)-SUMIF('JV 2082.04.01-10.18'!C:C,$A24,'JV 2082.04.01-10.18'!D:D),0)</f>
        <v>0</v>
      </c>
    </row>
    <row r="25" spans="1:5">
      <c r="A25" t="s">
        <v>37</v>
      </c>
      <c r="D25" s="11">
        <f>MAX(SUMIF('JV 2082.04.01-10.18'!C:C,$A25,'JV 2082.04.01-10.18'!D:D)-SUMIF('JV 2082.04.01-10.18'!C:C,$A25,'JV 2082.04.01-10.18'!E:E),0)</f>
        <v>0</v>
      </c>
      <c r="E25" s="11">
        <f>MAX(SUMIF('JV 2082.04.01-10.18'!C:C,$A25,'JV 2082.04.01-10.18'!E:E)-SUMIF('JV 2082.04.01-10.18'!C:C,$A25,'JV 2082.04.01-10.18'!D:D),0)</f>
        <v>2000</v>
      </c>
    </row>
    <row r="26" spans="1:5">
      <c r="A26" t="s">
        <v>39</v>
      </c>
      <c r="D26" s="11">
        <f>MAX(SUMIF('JV 2082.04.01-10.18'!C:C,$A26,'JV 2082.04.01-10.18'!D:D)-SUMIF('JV 2082.04.01-10.18'!C:C,$A26,'JV 2082.04.01-10.18'!E:E),0)</f>
        <v>190000</v>
      </c>
      <c r="E26" s="11">
        <f>MAX(SUMIF('JV 2082.04.01-10.18'!C:C,$A26,'JV 2082.04.01-10.18'!E:E)-SUMIF('JV 2082.04.01-10.18'!C:C,$A26,'JV 2082.04.01-10.18'!D:D),0)</f>
        <v>0</v>
      </c>
    </row>
    <row r="27" spans="1:5">
      <c r="A27" t="s">
        <v>40</v>
      </c>
      <c r="D27" s="11">
        <f>MAX(SUMIF('JV 2082.04.01-10.18'!C:C,$A27,'JV 2082.04.01-10.18'!D:D)-SUMIF('JV 2082.04.01-10.18'!C:C,$A27,'JV 2082.04.01-10.18'!E:E),0)</f>
        <v>40000</v>
      </c>
      <c r="E27" s="11">
        <f>MAX(SUMIF('JV 2082.04.01-10.18'!C:C,$A27,'JV 2082.04.01-10.18'!E:E)-SUMIF('JV 2082.04.01-10.18'!C:C,$A27,'JV 2082.04.01-10.18'!D:D),0)</f>
        <v>0</v>
      </c>
    </row>
    <row r="28" spans="1:5">
      <c r="A28" t="s">
        <v>42</v>
      </c>
      <c r="D28" s="11">
        <f>MAX(SUMIF('JV 2082.04.01-10.18'!C:C,$A28,'JV 2082.04.01-10.18'!D:D)-SUMIF('JV 2082.04.01-10.18'!C:C,$A28,'JV 2082.04.01-10.18'!E:E),0)</f>
        <v>0</v>
      </c>
      <c r="E28" s="11">
        <f>MAX(SUMIF('JV 2082.04.01-10.18'!C:C,$A28,'JV 2082.04.01-10.18'!E:E)-SUMIF('JV 2082.04.01-10.18'!C:C,$A28,'JV 2082.04.01-10.18'!D:D),0)</f>
        <v>500000</v>
      </c>
    </row>
    <row r="29" spans="1:5">
      <c r="A29" t="s">
        <v>44</v>
      </c>
      <c r="D29" s="11">
        <f>MAX(SUMIF('JV 2082.04.01-10.18'!C:C,$A29,'JV 2082.04.01-10.18'!D:D)-SUMIF('JV 2082.04.01-10.18'!C:C,$A29,'JV 2082.04.01-10.18'!E:E),0)</f>
        <v>75000</v>
      </c>
      <c r="E29" s="11">
        <f>MAX(SUMIF('JV 2082.04.01-10.18'!C:C,$A29,'JV 2082.04.01-10.18'!E:E)-SUMIF('JV 2082.04.01-10.18'!C:C,$A29,'JV 2082.04.01-10.18'!D:D),0)</f>
        <v>0</v>
      </c>
    </row>
    <row r="30" spans="1:5">
      <c r="A30" t="s">
        <v>49</v>
      </c>
      <c r="D30" s="11">
        <f>MAX(SUMIF('JV 2082.04.01-10.18'!C:C,$A30,'JV 2082.04.01-10.18'!D:D)-SUMIF('JV 2082.04.01-10.18'!C:C,$A30,'JV 2082.04.01-10.18'!E:E),0)</f>
        <v>48500</v>
      </c>
      <c r="E30" s="11">
        <f>MAX(SUMIF('JV 2082.04.01-10.18'!C:C,$A30,'JV 2082.04.01-10.18'!E:E)-SUMIF('JV 2082.04.01-10.18'!C:C,$A30,'JV 2082.04.01-10.18'!D:D),0)</f>
        <v>0</v>
      </c>
    </row>
    <row r="31" spans="1:5">
      <c r="A31" t="s">
        <v>50</v>
      </c>
      <c r="D31" s="11">
        <f>MAX(SUMIF('JV 2082.04.01-10.18'!C:C,$A31,'JV 2082.04.01-10.18'!D:D)-SUMIF('JV 2082.04.01-10.18'!C:C,$A31,'JV 2082.04.01-10.18'!E:E),0)</f>
        <v>0</v>
      </c>
      <c r="E31" s="11">
        <f>MAX(SUMIF('JV 2082.04.01-10.18'!C:C,$A31,'JV 2082.04.01-10.18'!E:E)-SUMIF('JV 2082.04.01-10.18'!C:C,$A31,'JV 2082.04.01-10.18'!D:D),0)</f>
        <v>7275</v>
      </c>
    </row>
    <row r="32" spans="1:5">
      <c r="A32" t="s">
        <v>51</v>
      </c>
      <c r="D32" s="11">
        <f>MAX(SUMIF('JV 2082.04.01-10.18'!C:C,$A32,'JV 2082.04.01-10.18'!D:D)-SUMIF('JV 2082.04.01-10.18'!C:C,$A32,'JV 2082.04.01-10.18'!E:E),0)</f>
        <v>550</v>
      </c>
      <c r="E32" s="11">
        <f>MAX(SUMIF('JV 2082.04.01-10.18'!C:C,$A32,'JV 2082.04.01-10.18'!E:E)-SUMIF('JV 2082.04.01-10.18'!C:C,$A32,'JV 2082.04.01-10.18'!D:D),0)</f>
        <v>0</v>
      </c>
    </row>
    <row r="33" spans="1:5">
      <c r="A33" t="s">
        <v>53</v>
      </c>
      <c r="D33" s="11">
        <f>MAX(SUMIF('JV 2082.04.01-10.18'!C:C,$A33,'JV 2082.04.01-10.18'!D:D)-SUMIF('JV 2082.04.01-10.18'!C:C,$A33,'JV 2082.04.01-10.18'!E:E),0)</f>
        <v>6300000</v>
      </c>
      <c r="E33" s="11">
        <f>MAX(SUMIF('JV 2082.04.01-10.18'!C:C,$A33,'JV 2082.04.01-10.18'!E:E)-SUMIF('JV 2082.04.01-10.18'!C:C,$A33,'JV 2082.04.01-10.18'!D:D),0)</f>
        <v>0</v>
      </c>
    </row>
    <row r="34" spans="1:5">
      <c r="A34" t="s">
        <v>54</v>
      </c>
      <c r="D34" s="11">
        <f>MAX(SUMIF('JV 2082.04.01-10.18'!C:C,$A34,'JV 2082.04.01-10.18'!D:D)-SUMIF('JV 2082.04.01-10.18'!C:C,$A34,'JV 2082.04.01-10.18'!E:E),0)</f>
        <v>0</v>
      </c>
      <c r="E34" s="11">
        <f>MAX(SUMIF('JV 2082.04.01-10.18'!C:C,$A34,'JV 2082.04.01-10.18'!E:E)-SUMIF('JV 2082.04.01-10.18'!C:C,$A34,'JV 2082.04.01-10.18'!D:D),0)</f>
        <v>0</v>
      </c>
    </row>
    <row r="35" spans="1:5">
      <c r="A35" t="s">
        <v>55</v>
      </c>
      <c r="D35" s="11">
        <f>MAX(SUMIF('JV 2082.04.01-10.18'!C:C,$A35,'JV 2082.04.01-10.18'!D:D)-SUMIF('JV 2082.04.01-10.18'!C:C,$A35,'JV 2082.04.01-10.18'!E:E),0)</f>
        <v>113785</v>
      </c>
      <c r="E35" s="11">
        <f>MAX(SUMIF('JV 2082.04.01-10.18'!C:C,$A35,'JV 2082.04.01-10.18'!E:E)-SUMIF('JV 2082.04.01-10.18'!C:C,$A35,'JV 2082.04.01-10.18'!D:D),0)</f>
        <v>0</v>
      </c>
    </row>
    <row r="36" spans="1:5">
      <c r="A36" t="s">
        <v>57</v>
      </c>
      <c r="D36" s="11">
        <f>MAX(SUMIF('JV 2082.04.01-10.18'!C:C,$A36,'JV 2082.04.01-10.18'!D:D)-SUMIF('JV 2082.04.01-10.18'!C:C,$A36,'JV 2082.04.01-10.18'!E:E),0)</f>
        <v>0</v>
      </c>
      <c r="E36" s="11">
        <f>MAX(SUMIF('JV 2082.04.01-10.18'!C:C,$A36,'JV 2082.04.01-10.18'!E:E)-SUMIF('JV 2082.04.01-10.18'!C:C,$A36,'JV 2082.04.01-10.18'!D:D),0)</f>
        <v>20000000</v>
      </c>
    </row>
    <row r="37" spans="1:5">
      <c r="A37" t="s">
        <v>58</v>
      </c>
      <c r="D37" s="11">
        <f>MAX(SUMIF('JV 2082.04.01-10.18'!C:C,$A37,'JV 2082.04.01-10.18'!D:D)-SUMIF('JV 2082.04.01-10.18'!C:C,$A37,'JV 2082.04.01-10.18'!E:E),0)</f>
        <v>124300</v>
      </c>
      <c r="E37" s="11">
        <f>MAX(SUMIF('JV 2082.04.01-10.18'!C:C,$A37,'JV 2082.04.01-10.18'!E:E)-SUMIF('JV 2082.04.01-10.18'!C:C,$A37,'JV 2082.04.01-10.18'!D:D),0)</f>
        <v>0</v>
      </c>
    </row>
    <row r="38" spans="1:5">
      <c r="A38" t="s">
        <v>61</v>
      </c>
      <c r="D38" s="11">
        <f>MAX(SUMIF('JV 2082.04.01-10.18'!C:C,$A38,'JV 2082.04.01-10.18'!D:D)-SUMIF('JV 2082.04.01-10.18'!C:C,$A38,'JV 2082.04.01-10.18'!E:E),0)</f>
        <v>0</v>
      </c>
      <c r="E38" s="11">
        <f>MAX(SUMIF('JV 2082.04.01-10.18'!C:C,$A38,'JV 2082.04.01-10.18'!E:E)-SUMIF('JV 2082.04.01-10.18'!C:C,$A38,'JV 2082.04.01-10.18'!D:D),0)</f>
        <v>2000000</v>
      </c>
    </row>
    <row r="39" spans="1:5">
      <c r="A39" t="s">
        <v>63</v>
      </c>
      <c r="D39" s="11">
        <f>MAX(SUMIF('JV 2082.04.01-10.18'!C:C,$A39,'JV 2082.04.01-10.18'!D:D)-SUMIF('JV 2082.04.01-10.18'!C:C,$A39,'JV 2082.04.01-10.18'!E:E),0)</f>
        <v>2000000</v>
      </c>
      <c r="E39" s="11">
        <f>MAX(SUMIF('JV 2082.04.01-10.18'!C:C,$A39,'JV 2082.04.01-10.18'!E:E)-SUMIF('JV 2082.04.01-10.18'!C:C,$A39,'JV 2082.04.01-10.18'!D:D),0)</f>
        <v>0</v>
      </c>
    </row>
    <row r="40" spans="1:5">
      <c r="A40" t="s">
        <v>65</v>
      </c>
      <c r="D40" s="11">
        <f>MAX(SUMIF('JV 2082.04.01-10.18'!C:C,$A40,'JV 2082.04.01-10.18'!D:D)-SUMIF('JV 2082.04.01-10.18'!C:C,$A40,'JV 2082.04.01-10.18'!E:E),0)</f>
        <v>12000000</v>
      </c>
      <c r="E40" s="11">
        <f>MAX(SUMIF('JV 2082.04.01-10.18'!C:C,$A40,'JV 2082.04.01-10.18'!E:E)-SUMIF('JV 2082.04.01-10.18'!C:C,$A40,'JV 2082.04.01-10.18'!D:D),0)</f>
        <v>0</v>
      </c>
    </row>
    <row r="41" spans="1:5">
      <c r="A41" t="s">
        <v>66</v>
      </c>
      <c r="D41" s="11">
        <f>MAX(SUMIF('JV 2082.04.01-10.18'!C:C,$A41,'JV 2082.04.01-10.18'!D:D)-SUMIF('JV 2082.04.01-10.18'!C:C,$A41,'JV 2082.04.01-10.18'!E:E),0)</f>
        <v>500000</v>
      </c>
      <c r="E41" s="11">
        <f>MAX(SUMIF('JV 2082.04.01-10.18'!C:C,$A41,'JV 2082.04.01-10.18'!E:E)-SUMIF('JV 2082.04.01-10.18'!C:C,$A41,'JV 2082.04.01-10.18'!D:D),0)</f>
        <v>0</v>
      </c>
    </row>
    <row r="42" spans="1:5">
      <c r="A42" t="s">
        <v>67</v>
      </c>
      <c r="D42" s="11">
        <f>MAX(SUMIF('JV 2082.04.01-10.18'!C:C,$A42,'JV 2082.04.01-10.18'!D:D)-SUMIF('JV 2082.04.01-10.18'!C:C,$A42,'JV 2082.04.01-10.18'!E:E),0)</f>
        <v>500000</v>
      </c>
      <c r="E42" s="11">
        <f>MAX(SUMIF('JV 2082.04.01-10.18'!C:C,$A42,'JV 2082.04.01-10.18'!E:E)-SUMIF('JV 2082.04.01-10.18'!C:C,$A42,'JV 2082.04.01-10.18'!D:D),0)</f>
        <v>0</v>
      </c>
    </row>
    <row r="43" spans="1:5">
      <c r="A43" t="s">
        <v>69</v>
      </c>
      <c r="D43" s="11">
        <f>MAX(SUMIF('JV 2082.04.01-10.18'!C:C,$A43,'JV 2082.04.01-10.18'!D:D)-SUMIF('JV 2082.04.01-10.18'!C:C,$A43,'JV 2082.04.01-10.18'!E:E),0)</f>
        <v>220000</v>
      </c>
      <c r="E43" s="11">
        <f>MAX(SUMIF('JV 2082.04.01-10.18'!C:C,$A43,'JV 2082.04.01-10.18'!E:E)-SUMIF('JV 2082.04.01-10.18'!C:C,$A43,'JV 2082.04.01-10.18'!D:D),0)</f>
        <v>0</v>
      </c>
    </row>
    <row r="44" spans="1:5">
      <c r="A44" t="s">
        <v>70</v>
      </c>
      <c r="D44" s="11">
        <f>MAX(SUMIF('JV 2082.04.01-10.18'!C:C,$A44,'JV 2082.04.01-10.18'!D:D)-SUMIF('JV 2082.04.01-10.18'!C:C,$A44,'JV 2082.04.01-10.18'!E:E),0)</f>
        <v>2000</v>
      </c>
      <c r="E44" s="11">
        <f>MAX(SUMIF('JV 2082.04.01-10.18'!C:C,$A44,'JV 2082.04.01-10.18'!E:E)-SUMIF('JV 2082.04.01-10.18'!C:C,$A44,'JV 2082.04.01-10.18'!D:D),0)</f>
        <v>0</v>
      </c>
    </row>
    <row r="45" spans="1:5">
      <c r="A45" t="s">
        <v>71</v>
      </c>
      <c r="D45" s="11">
        <f>MAX(SUMIF('JV 2082.04.01-10.18'!C:C,$A45,'JV 2082.04.01-10.18'!D:D)-SUMIF('JV 2082.04.01-10.18'!C:C,$A45,'JV 2082.04.01-10.18'!E:E),0)</f>
        <v>700000</v>
      </c>
      <c r="E45" s="11">
        <f>MAX(SUMIF('JV 2082.04.01-10.18'!C:C,$A45,'JV 2082.04.01-10.18'!E:E)-SUMIF('JV 2082.04.01-10.18'!C:C,$A45,'JV 2082.04.01-10.18'!D:D),0)</f>
        <v>0</v>
      </c>
    </row>
    <row r="46" spans="1:5">
      <c r="A46" t="s">
        <v>73</v>
      </c>
      <c r="D46" s="11">
        <f>MAX(SUMIF('JV 2082.04.01-10.18'!C:C,$A46,'JV 2082.04.01-10.18'!D:D)-SUMIF('JV 2082.04.01-10.18'!C:C,$A46,'JV 2082.04.01-10.18'!E:E),0)</f>
        <v>0</v>
      </c>
      <c r="E46" s="11">
        <f>MAX(SUMIF('JV 2082.04.01-10.18'!C:C,$A46,'JV 2082.04.01-10.18'!E:E)-SUMIF('JV 2082.04.01-10.18'!C:C,$A46,'JV 2082.04.01-10.18'!D:D),0)</f>
        <v>40000</v>
      </c>
    </row>
    <row r="47" spans="1:5">
      <c r="A47" s="7" t="s">
        <v>109</v>
      </c>
      <c r="B47" s="7"/>
      <c r="C47" s="7"/>
      <c r="D47" s="12">
        <f>SUM(D3:D46)</f>
        <v>27356984.5</v>
      </c>
      <c r="E47" s="12">
        <f>SUM(E3:E46)</f>
        <v>27356984.5</v>
      </c>
    </row>
  </sheetData>
  <mergeCells count="3">
    <mergeCell ref="B1:C1"/>
    <mergeCell ref="D1:E1"/>
    <mergeCell ref="F1:G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CF02-D158-4295-8569-7F3E413C0DB8}">
  <dimension ref="A1:C26"/>
  <sheetViews>
    <sheetView workbookViewId="0"/>
  </sheetViews>
  <sheetFormatPr defaultRowHeight="14.5"/>
  <cols>
    <col min="1" max="1" width="41.6328125" bestFit="1" customWidth="1"/>
    <col min="2" max="3" width="17.26953125" customWidth="1"/>
  </cols>
  <sheetData>
    <row r="1" spans="1:3">
      <c r="A1" s="7" t="s">
        <v>1</v>
      </c>
      <c r="B1" s="7" t="s">
        <v>107</v>
      </c>
      <c r="C1" s="7" t="s">
        <v>108</v>
      </c>
    </row>
    <row r="2" spans="1:3">
      <c r="A2" t="s">
        <v>23</v>
      </c>
      <c r="B2" s="8">
        <f>MAX(SUMIF('10.18 to 03.15'!C:C,$A2,'10.18 to 03.15'!D:D)-SUMIF('10.18 to 03.15'!C:C,$A2,'10.18 to 03.15'!E:E),0)</f>
        <v>11565</v>
      </c>
      <c r="C2" s="8">
        <f>MAX(SUMIF('10.18 to 03.15'!C:C,$A2,'10.18 to 03.15'!E:E)-SUMIF('10.18 to 03.15'!C:C,$A2,'10.18 to 03.15'!D:D),0)</f>
        <v>0</v>
      </c>
    </row>
    <row r="3" spans="1:3">
      <c r="A3" t="s">
        <v>27</v>
      </c>
      <c r="B3" s="8">
        <f>MAX(SUMIF('10.18 to 03.15'!C:C,$A3,'10.18 to 03.15'!D:D)-SUMIF('10.18 to 03.15'!C:C,$A3,'10.18 to 03.15'!E:E),0)</f>
        <v>2000</v>
      </c>
      <c r="C3" s="8">
        <f>MAX(SUMIF('10.18 to 03.15'!C:C,$A3,'10.18 to 03.15'!E:E)-SUMIF('10.18 to 03.15'!C:C,$A3,'10.18 to 03.15'!D:D),0)</f>
        <v>0</v>
      </c>
    </row>
    <row r="4" spans="1:3">
      <c r="A4" t="s">
        <v>28</v>
      </c>
      <c r="B4" s="8">
        <f>MAX(SUMIF('10.18 to 03.15'!C:C,$A4,'10.18 to 03.15'!D:D)-SUMIF('10.18 to 03.15'!C:C,$A4,'10.18 to 03.15'!E:E),0)</f>
        <v>0</v>
      </c>
      <c r="C4" s="8">
        <f>MAX(SUMIF('10.18 to 03.15'!C:C,$A4,'10.18 to 03.15'!E:E)-SUMIF('10.18 to 03.15'!C:C,$A4,'10.18 to 03.15'!D:D),0)</f>
        <v>9065</v>
      </c>
    </row>
    <row r="5" spans="1:3">
      <c r="A5" t="s">
        <v>76</v>
      </c>
      <c r="B5" s="8">
        <f>MAX(SUMIF('10.18 to 03.15'!C:C,$A5,'10.18 to 03.15'!D:D)-SUMIF('10.18 to 03.15'!C:C,$A5,'10.18 to 03.15'!E:E),0)</f>
        <v>370</v>
      </c>
      <c r="C5" s="8">
        <f>MAX(SUMIF('10.18 to 03.15'!C:C,$A5,'10.18 to 03.15'!E:E)-SUMIF('10.18 to 03.15'!C:C,$A5,'10.18 to 03.15'!D:D),0)</f>
        <v>0</v>
      </c>
    </row>
    <row r="6" spans="1:3">
      <c r="A6" t="s">
        <v>6</v>
      </c>
      <c r="B6" s="8">
        <f>MAX(SUMIF('10.18 to 03.15'!C:C,$A6,'10.18 to 03.15'!D:D)-SUMIF('10.18 to 03.15'!C:C,$A6,'10.18 to 03.15'!E:E),0)</f>
        <v>1602380</v>
      </c>
      <c r="C6" s="8">
        <f>MAX(SUMIF('10.18 to 03.15'!C:C,$A6,'10.18 to 03.15'!E:E)-SUMIF('10.18 to 03.15'!C:C,$A6,'10.18 to 03.15'!D:D),0)</f>
        <v>0</v>
      </c>
    </row>
    <row r="7" spans="1:3">
      <c r="A7" t="s">
        <v>11</v>
      </c>
      <c r="B7" s="8">
        <f>MAX(SUMIF('10.18 to 03.15'!C:C,$A7,'10.18 to 03.15'!D:D)-SUMIF('10.18 to 03.15'!C:C,$A7,'10.18 to 03.15'!E:E),0)</f>
        <v>2380000</v>
      </c>
      <c r="C7" s="8">
        <f>MAX(SUMIF('10.18 to 03.15'!C:C,$A7,'10.18 to 03.15'!E:E)-SUMIF('10.18 to 03.15'!C:C,$A7,'10.18 to 03.15'!D:D),0)</f>
        <v>0</v>
      </c>
    </row>
    <row r="8" spans="1:3">
      <c r="A8" t="s">
        <v>26</v>
      </c>
      <c r="B8" s="8">
        <f>MAX(SUMIF('10.18 to 03.15'!C:C,$A8,'10.18 to 03.15'!D:D)-SUMIF('10.18 to 03.15'!C:C,$A8,'10.18 to 03.15'!E:E),0)</f>
        <v>500</v>
      </c>
      <c r="C8" s="8">
        <f>MAX(SUMIF('10.18 to 03.15'!C:C,$A8,'10.18 to 03.15'!E:E)-SUMIF('10.18 to 03.15'!C:C,$A8,'10.18 to 03.15'!D:D),0)</f>
        <v>0</v>
      </c>
    </row>
    <row r="9" spans="1:3">
      <c r="A9" t="s">
        <v>80</v>
      </c>
      <c r="B9" s="8">
        <f>MAX(SUMIF('10.18 to 03.15'!C:C,$A9,'10.18 to 03.15'!D:D)-SUMIF('10.18 to 03.15'!C:C,$A9,'10.18 to 03.15'!E:E),0)</f>
        <v>0</v>
      </c>
      <c r="C9" s="8">
        <f>MAX(SUMIF('10.18 to 03.15'!C:C,$A9,'10.18 to 03.15'!E:E)-SUMIF('10.18 to 03.15'!C:C,$A9,'10.18 to 03.15'!D:D),0)</f>
        <v>15000000</v>
      </c>
    </row>
    <row r="10" spans="1:3">
      <c r="A10" t="s">
        <v>83</v>
      </c>
      <c r="B10" s="8">
        <f>MAX(SUMIF('10.18 to 03.15'!C:C,$A10,'10.18 to 03.15'!D:D)-SUMIF('10.18 to 03.15'!C:C,$A10,'10.18 to 03.15'!E:E),0)</f>
        <v>0</v>
      </c>
      <c r="C10" s="8">
        <f>MAX(SUMIF('10.18 to 03.15'!C:C,$A10,'10.18 to 03.15'!E:E)-SUMIF('10.18 to 03.15'!C:C,$A10,'10.18 to 03.15'!D:D),0)</f>
        <v>15600000</v>
      </c>
    </row>
    <row r="11" spans="1:3">
      <c r="A11" t="s">
        <v>85</v>
      </c>
      <c r="B11" s="8">
        <f>MAX(SUMIF('10.18 to 03.15'!C:C,$A11,'10.18 to 03.15'!D:D)-SUMIF('10.18 to 03.15'!C:C,$A11,'10.18 to 03.15'!E:E),0)</f>
        <v>8700000</v>
      </c>
      <c r="C11" s="8">
        <f>MAX(SUMIF('10.18 to 03.15'!C:C,$A11,'10.18 to 03.15'!E:E)-SUMIF('10.18 to 03.15'!C:C,$A11,'10.18 to 03.15'!D:D),0)</f>
        <v>0</v>
      </c>
    </row>
    <row r="12" spans="1:3">
      <c r="A12" t="s">
        <v>87</v>
      </c>
      <c r="B12" s="8">
        <f>MAX(SUMIF('10.18 to 03.15'!C:C,$A12,'10.18 to 03.15'!D:D)-SUMIF('10.18 to 03.15'!C:C,$A12,'10.18 to 03.15'!E:E),0)</f>
        <v>1800000</v>
      </c>
      <c r="C12" s="8">
        <f>MAX(SUMIF('10.18 to 03.15'!C:C,$A12,'10.18 to 03.15'!E:E)-SUMIF('10.18 to 03.15'!C:C,$A12,'10.18 to 03.15'!D:D),0)</f>
        <v>0</v>
      </c>
    </row>
    <row r="13" spans="1:3">
      <c r="A13" t="s">
        <v>88</v>
      </c>
      <c r="B13" s="8">
        <f>MAX(SUMIF('10.18 to 03.15'!C:C,$A13,'10.18 to 03.15'!D:D)-SUMIF('10.18 to 03.15'!C:C,$A13,'10.18 to 03.15'!E:E),0)</f>
        <v>2000000</v>
      </c>
      <c r="C13" s="8">
        <f>MAX(SUMIF('10.18 to 03.15'!C:C,$A13,'10.18 to 03.15'!E:E)-SUMIF('10.18 to 03.15'!C:C,$A13,'10.18 to 03.15'!D:D),0)</f>
        <v>0</v>
      </c>
    </row>
    <row r="14" spans="1:3">
      <c r="A14" t="s">
        <v>89</v>
      </c>
      <c r="B14" s="8">
        <f>MAX(SUMIF('10.18 to 03.15'!C:C,$A14,'10.18 to 03.15'!D:D)-SUMIF('10.18 to 03.15'!C:C,$A14,'10.18 to 03.15'!E:E),0)</f>
        <v>15600000</v>
      </c>
      <c r="C14" s="8">
        <f>MAX(SUMIF('10.18 to 03.15'!C:C,$A14,'10.18 to 03.15'!E:E)-SUMIF('10.18 to 03.15'!C:C,$A14,'10.18 to 03.15'!D:D),0)</f>
        <v>0</v>
      </c>
    </row>
    <row r="15" spans="1:3">
      <c r="A15" t="s">
        <v>16</v>
      </c>
      <c r="B15" s="8">
        <f>MAX(SUMIF('10.18 to 03.15'!C:C,$A15,'10.18 to 03.15'!D:D)-SUMIF('10.18 to 03.15'!C:C,$A15,'10.18 to 03.15'!E:E),0)</f>
        <v>175000</v>
      </c>
      <c r="C15" s="8">
        <f>MAX(SUMIF('10.18 to 03.15'!C:C,$A15,'10.18 to 03.15'!E:E)-SUMIF('10.18 to 03.15'!C:C,$A15,'10.18 to 03.15'!D:D),0)</f>
        <v>0</v>
      </c>
    </row>
    <row r="16" spans="1:3">
      <c r="A16" t="s">
        <v>20</v>
      </c>
      <c r="B16" s="8">
        <f>MAX(SUMIF('10.18 to 03.15'!C:C,$A16,'10.18 to 03.15'!D:D)-SUMIF('10.18 to 03.15'!C:C,$A16,'10.18 to 03.15'!E:E),0)</f>
        <v>0</v>
      </c>
      <c r="C16" s="8">
        <f>MAX(SUMIF('10.18 to 03.15'!C:C,$A16,'10.18 to 03.15'!E:E)-SUMIF('10.18 to 03.15'!C:C,$A16,'10.18 to 03.15'!D:D),0)</f>
        <v>1750</v>
      </c>
    </row>
    <row r="17" spans="1:3">
      <c r="A17" t="s">
        <v>71</v>
      </c>
      <c r="B17" s="8">
        <f>MAX(SUMIF('10.18 to 03.15'!C:C,$A17,'10.18 to 03.15'!D:D)-SUMIF('10.18 to 03.15'!C:C,$A17,'10.18 to 03.15'!E:E),0)</f>
        <v>1000000</v>
      </c>
      <c r="C17" s="8">
        <f>MAX(SUMIF('10.18 to 03.15'!C:C,$A17,'10.18 to 03.15'!E:E)-SUMIF('10.18 to 03.15'!C:C,$A17,'10.18 to 03.15'!D:D),0)</f>
        <v>0</v>
      </c>
    </row>
    <row r="18" spans="1:3">
      <c r="A18" t="s">
        <v>90</v>
      </c>
      <c r="B18" s="8">
        <f>MAX(SUMIF('10.18 to 03.15'!C:C,$A18,'10.18 to 03.15'!D:D)-SUMIF('10.18 to 03.15'!C:C,$A18,'10.18 to 03.15'!E:E),0)</f>
        <v>4500</v>
      </c>
      <c r="C18" s="8">
        <f>MAX(SUMIF('10.18 to 03.15'!C:C,$A18,'10.18 to 03.15'!E:E)-SUMIF('10.18 to 03.15'!C:C,$A18,'10.18 to 03.15'!D:D),0)</f>
        <v>0</v>
      </c>
    </row>
    <row r="19" spans="1:3">
      <c r="A19" t="s">
        <v>91</v>
      </c>
      <c r="B19" s="8">
        <f>MAX(SUMIF('10.18 to 03.15'!C:C,$A19,'10.18 to 03.15'!D:D)-SUMIF('10.18 to 03.15'!C:C,$A19,'10.18 to 03.15'!E:E),0)</f>
        <v>339000</v>
      </c>
      <c r="C19" s="8">
        <f>MAX(SUMIF('10.18 to 03.15'!C:C,$A19,'10.18 to 03.15'!E:E)-SUMIF('10.18 to 03.15'!C:C,$A19,'10.18 to 03.15'!D:D),0)</f>
        <v>0</v>
      </c>
    </row>
    <row r="20" spans="1:3">
      <c r="A20" t="s">
        <v>35</v>
      </c>
      <c r="B20" s="8">
        <f>MAX(SUMIF('10.18 to 03.15'!C:C,$A20,'10.18 to 03.15'!D:D)-SUMIF('10.18 to 03.15'!C:C,$A20,'10.18 to 03.15'!E:E),0)</f>
        <v>0</v>
      </c>
      <c r="C20" s="8">
        <f>MAX(SUMIF('10.18 to 03.15'!C:C,$A20,'10.18 to 03.15'!E:E)-SUMIF('10.18 to 03.15'!C:C,$A20,'10.18 to 03.15'!D:D),0)</f>
        <v>4500</v>
      </c>
    </row>
    <row r="21" spans="1:3">
      <c r="A21" t="s">
        <v>93</v>
      </c>
      <c r="B21" s="8">
        <f>MAX(SUMIF('10.18 to 03.15'!C:C,$A21,'10.18 to 03.15'!D:D)-SUMIF('10.18 to 03.15'!C:C,$A21,'10.18 to 03.15'!E:E),0)</f>
        <v>0</v>
      </c>
      <c r="C21" s="8">
        <f>MAX(SUMIF('10.18 to 03.15'!C:C,$A21,'10.18 to 03.15'!E:E)-SUMIF('10.18 to 03.15'!C:C,$A21,'10.18 to 03.15'!D:D),0)</f>
        <v>1500000</v>
      </c>
    </row>
    <row r="22" spans="1:3">
      <c r="A22" t="s">
        <v>94</v>
      </c>
      <c r="B22" s="8">
        <f>MAX(SUMIF('10.18 to 03.15'!C:C,$A22,'10.18 to 03.15'!D:D)-SUMIF('10.18 to 03.15'!C:C,$A22,'10.18 to 03.15'!E:E),0)</f>
        <v>0</v>
      </c>
      <c r="C22" s="8">
        <f>MAX(SUMIF('10.18 to 03.15'!C:C,$A22,'10.18 to 03.15'!E:E)-SUMIF('10.18 to 03.15'!C:C,$A22,'10.18 to 03.15'!D:D),0)</f>
        <v>2500000</v>
      </c>
    </row>
    <row r="23" spans="1:3">
      <c r="A23" t="s">
        <v>96</v>
      </c>
      <c r="B23" s="8">
        <f>MAX(SUMIF('10.18 to 03.15'!C:C,$A23,'10.18 to 03.15'!D:D)-SUMIF('10.18 to 03.15'!C:C,$A23,'10.18 to 03.15'!E:E),0)</f>
        <v>0</v>
      </c>
      <c r="C23" s="8">
        <f>MAX(SUMIF('10.18 to 03.15'!C:C,$A23,'10.18 to 03.15'!E:E)-SUMIF('10.18 to 03.15'!C:C,$A23,'10.18 to 03.15'!D:D),0)</f>
        <v>0</v>
      </c>
    </row>
    <row r="24" spans="1:3">
      <c r="A24" t="s">
        <v>97</v>
      </c>
      <c r="B24" s="8">
        <f>MAX(SUMIF('10.18 to 03.15'!C:C,$A24,'10.18 to 03.15'!D:D)-SUMIF('10.18 to 03.15'!C:C,$A24,'10.18 to 03.15'!E:E),0)</f>
        <v>800000</v>
      </c>
      <c r="C24" s="8">
        <f>MAX(SUMIF('10.18 to 03.15'!C:C,$A24,'10.18 to 03.15'!E:E)-SUMIF('10.18 to 03.15'!C:C,$A24,'10.18 to 03.15'!D:D),0)</f>
        <v>0</v>
      </c>
    </row>
    <row r="25" spans="1:3">
      <c r="A25" t="s">
        <v>98</v>
      </c>
      <c r="B25" s="8">
        <f>MAX(SUMIF('10.18 to 03.15'!C:C,$A25,'10.18 to 03.15'!D:D)-SUMIF('10.18 to 03.15'!C:C,$A25,'10.18 to 03.15'!E:E),0)</f>
        <v>200000</v>
      </c>
      <c r="C25" s="8">
        <f>MAX(SUMIF('10.18 to 03.15'!C:C,$A25,'10.18 to 03.15'!E:E)-SUMIF('10.18 to 03.15'!C:C,$A25,'10.18 to 03.15'!D:D),0)</f>
        <v>0</v>
      </c>
    </row>
    <row r="26" spans="1:3">
      <c r="A26" s="7" t="s">
        <v>109</v>
      </c>
      <c r="B26" s="9">
        <f>SUM(B2:B25)</f>
        <v>34615315</v>
      </c>
      <c r="C26" s="9">
        <f>SUM(C2:C25)</f>
        <v>34615315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85B94-0063-4346-B842-C5897E4102FC}">
  <dimension ref="A1:C14"/>
  <sheetViews>
    <sheetView workbookViewId="0">
      <selection activeCell="B9" sqref="B9"/>
    </sheetView>
  </sheetViews>
  <sheetFormatPr defaultRowHeight="14.5"/>
  <cols>
    <col min="1" max="1" width="39.1796875" bestFit="1" customWidth="1"/>
    <col min="2" max="3" width="17.26953125" customWidth="1"/>
  </cols>
  <sheetData>
    <row r="1" spans="1:3">
      <c r="A1" s="7" t="s">
        <v>1</v>
      </c>
      <c r="B1" s="7" t="s">
        <v>107</v>
      </c>
      <c r="C1" s="7" t="s">
        <v>108</v>
      </c>
    </row>
    <row r="2" spans="1:3">
      <c r="A2" t="s">
        <v>100</v>
      </c>
      <c r="B2" s="8">
        <f>MAX(SUMIF('After 03.15'!C:C,$A2,'After 03.15'!D:D)-SUMIF('After 03.15'!C:C,$A2,'After 03.15'!E:E),0)</f>
        <v>545083.75</v>
      </c>
      <c r="C2" s="8">
        <f>MAX(SUMIF('After 03.15'!C:C,$A2,'After 03.15'!E:E)-SUMIF('After 03.15'!C:C,$A2,'After 03.15'!D:D),0)</f>
        <v>0</v>
      </c>
    </row>
    <row r="3" spans="1:3">
      <c r="A3" t="s">
        <v>35</v>
      </c>
      <c r="B3" s="8">
        <f>MAX(SUMIF('After 03.15'!C:C,$A3,'After 03.15'!D:D)-SUMIF('After 03.15'!C:C,$A3,'After 03.15'!E:E),0)</f>
        <v>0</v>
      </c>
      <c r="C3" s="8">
        <f>MAX(SUMIF('After 03.15'!C:C,$A3,'After 03.15'!E:E)-SUMIF('After 03.15'!C:C,$A3,'After 03.15'!D:D),0)</f>
        <v>7235.625</v>
      </c>
    </row>
    <row r="4" spans="1:3">
      <c r="A4" t="s">
        <v>101</v>
      </c>
      <c r="B4" s="8">
        <f>MAX(SUMIF('After 03.15'!C:C,$A4,'After 03.15'!D:D)-SUMIF('After 03.15'!C:C,$A4,'After 03.15'!E:E),0)</f>
        <v>0</v>
      </c>
      <c r="C4" s="8">
        <f>MAX(SUMIF('After 03.15'!C:C,$A4,'After 03.15'!E:E)-SUMIF('After 03.15'!C:C,$A4,'After 03.15'!D:D),0)</f>
        <v>537848.125</v>
      </c>
    </row>
    <row r="5" spans="1:3">
      <c r="A5" t="s">
        <v>102</v>
      </c>
      <c r="B5" s="8">
        <f>MAX(SUMIF('After 03.15'!C:C,$A5,'After 03.15'!D:D)-SUMIF('After 03.15'!C:C,$A5,'After 03.15'!E:E),0)</f>
        <v>2210</v>
      </c>
      <c r="C5" s="8">
        <f>MAX(SUMIF('After 03.15'!C:C,$A5,'After 03.15'!E:E)-SUMIF('After 03.15'!C:C,$A5,'After 03.15'!D:D),0)</f>
        <v>0</v>
      </c>
    </row>
    <row r="6" spans="1:3">
      <c r="A6" t="s">
        <v>28</v>
      </c>
      <c r="B6" s="8">
        <f>MAX(SUMIF('After 03.15'!C:C,$A6,'After 03.15'!D:D)-SUMIF('After 03.15'!C:C,$A6,'After 03.15'!E:E),0)</f>
        <v>0</v>
      </c>
      <c r="C6" s="8">
        <f>MAX(SUMIF('After 03.15'!C:C,$A6,'After 03.15'!E:E)-SUMIF('After 03.15'!C:C,$A6,'After 03.15'!D:D),0)</f>
        <v>2210</v>
      </c>
    </row>
    <row r="7" spans="1:3">
      <c r="A7" t="s">
        <v>55</v>
      </c>
      <c r="B7" s="8">
        <f>MAX(SUMIF('After 03.15'!C:C,$A7,'After 03.15'!D:D)-SUMIF('After 03.15'!C:C,$A7,'After 03.15'!E:E),0)</f>
        <v>125301</v>
      </c>
      <c r="C7" s="8">
        <f>MAX(SUMIF('After 03.15'!C:C,$A7,'After 03.15'!E:E)-SUMIF('After 03.15'!C:C,$A7,'After 03.15'!D:D),0)</f>
        <v>0</v>
      </c>
    </row>
    <row r="8" spans="1:3">
      <c r="A8" t="s">
        <v>104</v>
      </c>
      <c r="B8" s="8">
        <f>MAX(SUMIF('After 03.15'!C:C,$A8,'After 03.15'!D:D)-SUMIF('After 03.15'!C:C,$A8,'After 03.15'!E:E),0)</f>
        <v>0</v>
      </c>
      <c r="C8" s="8">
        <f>MAX(SUMIF('After 03.15'!C:C,$A8,'After 03.15'!E:E)-SUMIF('After 03.15'!C:C,$A8,'After 03.15'!D:D),0)</f>
        <v>115990</v>
      </c>
    </row>
    <row r="9" spans="1:3">
      <c r="A9" t="s">
        <v>76</v>
      </c>
      <c r="B9" s="8">
        <f>MAX(SUMIF('After 03.15'!C:C,$A9,'After 03.15'!D:D)-SUMIF('After 03.15'!C:C,$A9,'After 03.15'!E:E),0)</f>
        <v>2101</v>
      </c>
      <c r="C9" s="8">
        <f>MAX(SUMIF('After 03.15'!C:C,$A9,'After 03.15'!E:E)-SUMIF('After 03.15'!C:C,$A9,'After 03.15'!D:D),0)</f>
        <v>0</v>
      </c>
    </row>
    <row r="10" spans="1:3">
      <c r="A10" t="s">
        <v>6</v>
      </c>
      <c r="B10" s="8">
        <f>MAX(SUMIF('After 03.15'!C:C,$A10,'After 03.15'!D:D)-SUMIF('After 03.15'!C:C,$A10,'After 03.15'!E:E),0)</f>
        <v>0</v>
      </c>
      <c r="C10" s="8">
        <f>MAX(SUMIF('After 03.15'!C:C,$A10,'After 03.15'!E:E)-SUMIF('After 03.15'!C:C,$A10,'After 03.15'!D:D),0)</f>
        <v>2101</v>
      </c>
    </row>
    <row r="11" spans="1:3">
      <c r="A11" t="s">
        <v>105</v>
      </c>
      <c r="B11" s="8">
        <f>MAX(SUMIF('After 03.15'!C:C,$A11,'After 03.15'!D:D)-SUMIF('After 03.15'!C:C,$A11,'After 03.15'!E:E),0)</f>
        <v>15000</v>
      </c>
      <c r="C11" s="8">
        <f>MAX(SUMIF('After 03.15'!C:C,$A11,'After 03.15'!E:E)-SUMIF('After 03.15'!C:C,$A11,'After 03.15'!D:D),0)</f>
        <v>0</v>
      </c>
    </row>
    <row r="12" spans="1:3">
      <c r="A12" t="s">
        <v>50</v>
      </c>
      <c r="B12" s="8">
        <f>MAX(SUMIF('After 03.15'!C:C,$A12,'After 03.15'!D:D)-SUMIF('After 03.15'!C:C,$A12,'After 03.15'!E:E),0)</f>
        <v>0</v>
      </c>
      <c r="C12" s="8">
        <f>MAX(SUMIF('After 03.15'!C:C,$A12,'After 03.15'!E:E)-SUMIF('After 03.15'!C:C,$A12,'After 03.15'!D:D),0)</f>
        <v>2250</v>
      </c>
    </row>
    <row r="13" spans="1:3">
      <c r="A13" t="s">
        <v>106</v>
      </c>
      <c r="B13" s="8">
        <f>MAX(SUMIF('After 03.15'!C:C,$A13,'After 03.15'!D:D)-SUMIF('After 03.15'!C:C,$A13,'After 03.15'!E:E),0)</f>
        <v>0</v>
      </c>
      <c r="C13" s="8">
        <f>MAX(SUMIF('After 03.15'!C:C,$A13,'After 03.15'!E:E)-SUMIF('After 03.15'!C:C,$A13,'After 03.15'!D:D),0)</f>
        <v>22061</v>
      </c>
    </row>
    <row r="14" spans="1:3">
      <c r="A14" s="7" t="s">
        <v>109</v>
      </c>
      <c r="B14" s="9">
        <f>SUM(B2:B13)</f>
        <v>689695.75</v>
      </c>
      <c r="C14" s="9">
        <f>SUM(C2:C13)</f>
        <v>689695.75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58693-2AD6-48F0-89EF-7E48153BBE2A}">
  <dimension ref="A1:C66"/>
  <sheetViews>
    <sheetView topLeftCell="A46" workbookViewId="0">
      <selection activeCell="B66" sqref="B66"/>
    </sheetView>
  </sheetViews>
  <sheetFormatPr defaultRowHeight="14.5"/>
  <cols>
    <col min="1" max="1" width="41.6328125" bestFit="1" customWidth="1"/>
    <col min="2" max="3" width="17.26953125" customWidth="1"/>
  </cols>
  <sheetData>
    <row r="1" spans="1:3">
      <c r="A1" s="7" t="s">
        <v>1</v>
      </c>
      <c r="B1" s="7" t="s">
        <v>107</v>
      </c>
      <c r="C1" s="7" t="s">
        <v>108</v>
      </c>
    </row>
    <row r="2" spans="1:3">
      <c r="A2" t="s">
        <v>5</v>
      </c>
      <c r="B2" s="8">
        <f>MAX(SUMIF(Sheet1!B:B,$A2,Sheet1!C:C)-SUMIF(Sheet1!B:B,$A2,Sheet1!D:D),0)</f>
        <v>0</v>
      </c>
      <c r="C2" s="8">
        <f>MAX(SUMIF(Sheet1!B:B,$A2,Sheet1!D:D)-SUMIF(Sheet1!B:B,$A2,Sheet1!C:C),0)</f>
        <v>3200000</v>
      </c>
    </row>
    <row r="3" spans="1:3">
      <c r="A3" t="s">
        <v>6</v>
      </c>
      <c r="B3" s="8">
        <f>MAX(SUMIF(Sheet1!B:B,$A3,Sheet1!C:C)-SUMIF(Sheet1!B:B,$A3,Sheet1!D:D),0)</f>
        <v>761719.5</v>
      </c>
      <c r="C3" s="8">
        <f>MAX(SUMIF(Sheet1!B:B,$A3,Sheet1!D:D)-SUMIF(Sheet1!B:B,$A3,Sheet1!C:C),0)</f>
        <v>0</v>
      </c>
    </row>
    <row r="4" spans="1:3">
      <c r="A4" t="s">
        <v>9</v>
      </c>
      <c r="B4" s="8">
        <f>MAX(SUMIF(Sheet1!B:B,$A4,Sheet1!C:C)-SUMIF(Sheet1!B:B,$A4,Sheet1!D:D),0)</f>
        <v>260000</v>
      </c>
      <c r="C4" s="8">
        <f>MAX(SUMIF(Sheet1!B:B,$A4,Sheet1!D:D)-SUMIF(Sheet1!B:B,$A4,Sheet1!C:C),0)</f>
        <v>0</v>
      </c>
    </row>
    <row r="5" spans="1:3">
      <c r="A5" t="s">
        <v>11</v>
      </c>
      <c r="B5" s="8">
        <f>MAX(SUMIF(Sheet1!B:B,$A5,Sheet1!C:C)-SUMIF(Sheet1!B:B,$A5,Sheet1!D:D),0)</f>
        <v>4690000</v>
      </c>
      <c r="C5" s="8">
        <f>MAX(SUMIF(Sheet1!B:B,$A5,Sheet1!D:D)-SUMIF(Sheet1!B:B,$A5,Sheet1!C:C),0)</f>
        <v>0</v>
      </c>
    </row>
    <row r="6" spans="1:3">
      <c r="A6" t="s">
        <v>12</v>
      </c>
      <c r="B6" s="8">
        <f>MAX(SUMIF(Sheet1!B:B,$A6,Sheet1!C:C)-SUMIF(Sheet1!B:B,$A6,Sheet1!D:D),0)</f>
        <v>1000000</v>
      </c>
      <c r="C6" s="8">
        <f>MAX(SUMIF(Sheet1!B:B,$A6,Sheet1!D:D)-SUMIF(Sheet1!B:B,$A6,Sheet1!C:C),0)</f>
        <v>0</v>
      </c>
    </row>
    <row r="7" spans="1:3">
      <c r="A7" t="s">
        <v>14</v>
      </c>
      <c r="B7" s="8">
        <f>MAX(SUMIF(Sheet1!B:B,$A7,Sheet1!C:C)-SUMIF(Sheet1!B:B,$A7,Sheet1!D:D),0)</f>
        <v>0</v>
      </c>
      <c r="C7" s="8">
        <f>MAX(SUMIF(Sheet1!B:B,$A7,Sheet1!D:D)-SUMIF(Sheet1!B:B,$A7,Sheet1!C:C),0)</f>
        <v>700000</v>
      </c>
    </row>
    <row r="8" spans="1:3">
      <c r="A8" t="s">
        <v>16</v>
      </c>
      <c r="B8" s="8">
        <f>MAX(SUMIF(Sheet1!B:B,$A8,Sheet1!C:C)-SUMIF(Sheet1!B:B,$A8,Sheet1!D:D),0)</f>
        <v>350000</v>
      </c>
      <c r="C8" s="8">
        <f>MAX(SUMIF(Sheet1!B:B,$A8,Sheet1!D:D)-SUMIF(Sheet1!B:B,$A8,Sheet1!C:C),0)</f>
        <v>0</v>
      </c>
    </row>
    <row r="9" spans="1:3">
      <c r="A9" t="s">
        <v>17</v>
      </c>
      <c r="B9" s="8">
        <f>MAX(SUMIF(Sheet1!B:B,$A9,Sheet1!C:C)-SUMIF(Sheet1!B:B,$A9,Sheet1!D:D),0)</f>
        <v>175000</v>
      </c>
      <c r="C9" s="8">
        <f>MAX(SUMIF(Sheet1!B:B,$A9,Sheet1!D:D)-SUMIF(Sheet1!B:B,$A9,Sheet1!C:C),0)</f>
        <v>0</v>
      </c>
    </row>
    <row r="10" spans="1:3">
      <c r="A10" t="s">
        <v>18</v>
      </c>
      <c r="B10" s="8">
        <f>MAX(SUMIF(Sheet1!B:B,$A10,Sheet1!C:C)-SUMIF(Sheet1!B:B,$A10,Sheet1!D:D),0)</f>
        <v>45000</v>
      </c>
      <c r="C10" s="8">
        <f>MAX(SUMIF(Sheet1!B:B,$A10,Sheet1!D:D)-SUMIF(Sheet1!B:B,$A10,Sheet1!C:C),0)</f>
        <v>0</v>
      </c>
    </row>
    <row r="11" spans="1:3">
      <c r="A11" t="s">
        <v>19</v>
      </c>
      <c r="B11" s="8">
        <f>MAX(SUMIF(Sheet1!B:B,$A11,Sheet1!C:C)-SUMIF(Sheet1!B:B,$A11,Sheet1!D:D),0)</f>
        <v>20000</v>
      </c>
      <c r="C11" s="8">
        <f>MAX(SUMIF(Sheet1!B:B,$A11,Sheet1!D:D)-SUMIF(Sheet1!B:B,$A11,Sheet1!C:C),0)</f>
        <v>0</v>
      </c>
    </row>
    <row r="12" spans="1:3">
      <c r="A12" t="s">
        <v>20</v>
      </c>
      <c r="B12" s="8">
        <f>MAX(SUMIF(Sheet1!B:B,$A12,Sheet1!C:C)-SUMIF(Sheet1!B:B,$A12,Sheet1!D:D),0)</f>
        <v>0</v>
      </c>
      <c r="C12" s="8">
        <f>MAX(SUMIF(Sheet1!B:B,$A12,Sheet1!D:D)-SUMIF(Sheet1!B:B,$A12,Sheet1!C:C),0)</f>
        <v>5900</v>
      </c>
    </row>
    <row r="13" spans="1:3">
      <c r="A13" t="s">
        <v>23</v>
      </c>
      <c r="B13" s="8">
        <f>MAX(SUMIF(Sheet1!B:B,$A13,Sheet1!C:C)-SUMIF(Sheet1!B:B,$A13,Sheet1!D:D),0)</f>
        <v>18530</v>
      </c>
      <c r="C13" s="8">
        <f>MAX(SUMIF(Sheet1!B:B,$A13,Sheet1!D:D)-SUMIF(Sheet1!B:B,$A13,Sheet1!C:C),0)</f>
        <v>0</v>
      </c>
    </row>
    <row r="14" spans="1:3">
      <c r="A14" t="s">
        <v>24</v>
      </c>
      <c r="B14" s="8">
        <f>MAX(SUMIF(Sheet1!B:B,$A14,Sheet1!C:C)-SUMIF(Sheet1!B:B,$A14,Sheet1!D:D),0)</f>
        <v>1140</v>
      </c>
      <c r="C14" s="8">
        <f>MAX(SUMIF(Sheet1!B:B,$A14,Sheet1!D:D)-SUMIF(Sheet1!B:B,$A14,Sheet1!C:C),0)</f>
        <v>0</v>
      </c>
    </row>
    <row r="15" spans="1:3">
      <c r="A15" t="s">
        <v>25</v>
      </c>
      <c r="B15" s="8">
        <f>MAX(SUMIF(Sheet1!B:B,$A15,Sheet1!C:C)-SUMIF(Sheet1!B:B,$A15,Sheet1!D:D),0)</f>
        <v>2305</v>
      </c>
      <c r="C15" s="8">
        <f>MAX(SUMIF(Sheet1!B:B,$A15,Sheet1!D:D)-SUMIF(Sheet1!B:B,$A15,Sheet1!C:C),0)</f>
        <v>0</v>
      </c>
    </row>
    <row r="16" spans="1:3">
      <c r="A16" t="s">
        <v>26</v>
      </c>
      <c r="B16" s="8">
        <f>MAX(SUMIF(Sheet1!B:B,$A16,Sheet1!C:C)-SUMIF(Sheet1!B:B,$A16,Sheet1!D:D),0)</f>
        <v>4500</v>
      </c>
      <c r="C16" s="8">
        <f>MAX(SUMIF(Sheet1!B:B,$A16,Sheet1!D:D)-SUMIF(Sheet1!B:B,$A16,Sheet1!C:C),0)</f>
        <v>0</v>
      </c>
    </row>
    <row r="17" spans="1:3">
      <c r="A17" t="s">
        <v>27</v>
      </c>
      <c r="B17" s="8">
        <f>MAX(SUMIF(Sheet1!B:B,$A17,Sheet1!C:C)-SUMIF(Sheet1!B:B,$A17,Sheet1!D:D),0)</f>
        <v>6590</v>
      </c>
      <c r="C17" s="8">
        <f>MAX(SUMIF(Sheet1!B:B,$A17,Sheet1!D:D)-SUMIF(Sheet1!B:B,$A17,Sheet1!C:C),0)</f>
        <v>0</v>
      </c>
    </row>
    <row r="18" spans="1:3">
      <c r="A18" t="s">
        <v>28</v>
      </c>
      <c r="B18" s="8">
        <f>MAX(SUMIF(Sheet1!B:B,$A18,Sheet1!C:C)-SUMIF(Sheet1!B:B,$A18,Sheet1!D:D),0)</f>
        <v>0</v>
      </c>
      <c r="C18" s="8">
        <f>MAX(SUMIF(Sheet1!B:B,$A18,Sheet1!D:D)-SUMIF(Sheet1!B:B,$A18,Sheet1!C:C),0)</f>
        <v>2050</v>
      </c>
    </row>
    <row r="19" spans="1:3">
      <c r="A19" t="s">
        <v>31</v>
      </c>
      <c r="B19" s="8">
        <f>MAX(SUMIF(Sheet1!B:B,$A19,Sheet1!C:C)-SUMIF(Sheet1!B:B,$A19,Sheet1!D:D),0)</f>
        <v>0</v>
      </c>
      <c r="C19" s="8">
        <f>MAX(SUMIF(Sheet1!B:B,$A19,Sheet1!D:D)-SUMIF(Sheet1!B:B,$A19,Sheet1!C:C),0)</f>
        <v>40000</v>
      </c>
    </row>
    <row r="20" spans="1:3">
      <c r="A20" t="s">
        <v>32</v>
      </c>
      <c r="B20" s="8">
        <f>MAX(SUMIF(Sheet1!B:B,$A20,Sheet1!C:C)-SUMIF(Sheet1!B:B,$A20,Sheet1!D:D),0)</f>
        <v>0</v>
      </c>
      <c r="C20" s="8">
        <f>MAX(SUMIF(Sheet1!B:B,$A20,Sheet1!D:D)-SUMIF(Sheet1!B:B,$A20,Sheet1!C:C),0)</f>
        <v>25000</v>
      </c>
    </row>
    <row r="21" spans="1:3">
      <c r="A21" t="s">
        <v>33</v>
      </c>
      <c r="B21" s="8">
        <f>MAX(SUMIF(Sheet1!B:B,$A21,Sheet1!C:C)-SUMIF(Sheet1!B:B,$A21,Sheet1!D:D),0)</f>
        <v>529624.5</v>
      </c>
      <c r="C21" s="8">
        <f>MAX(SUMIF(Sheet1!B:B,$A21,Sheet1!D:D)-SUMIF(Sheet1!B:B,$A21,Sheet1!C:C),0)</f>
        <v>0</v>
      </c>
    </row>
    <row r="22" spans="1:3">
      <c r="A22" t="s">
        <v>34</v>
      </c>
      <c r="B22" s="8">
        <f>MAX(SUMIF(Sheet1!B:B,$A22,Sheet1!C:C)-SUMIF(Sheet1!B:B,$A22,Sheet1!D:D),0)</f>
        <v>0</v>
      </c>
      <c r="C22" s="8">
        <f>MAX(SUMIF(Sheet1!B:B,$A22,Sheet1!D:D)-SUMIF(Sheet1!B:B,$A22,Sheet1!C:C),0)</f>
        <v>0</v>
      </c>
    </row>
    <row r="23" spans="1:3">
      <c r="A23" t="s">
        <v>35</v>
      </c>
      <c r="B23" s="8">
        <f>MAX(SUMIF(Sheet1!B:B,$A23,Sheet1!C:C)-SUMIF(Sheet1!B:B,$A23,Sheet1!D:D),0)</f>
        <v>0</v>
      </c>
      <c r="C23" s="8">
        <f>MAX(SUMIF(Sheet1!B:B,$A23,Sheet1!D:D)-SUMIF(Sheet1!B:B,$A23,Sheet1!C:C),0)</f>
        <v>11735.625</v>
      </c>
    </row>
    <row r="24" spans="1:3">
      <c r="A24" t="s">
        <v>37</v>
      </c>
      <c r="B24" s="8">
        <f>MAX(SUMIF(Sheet1!B:B,$A24,Sheet1!C:C)-SUMIF(Sheet1!B:B,$A24,Sheet1!D:D),0)</f>
        <v>0</v>
      </c>
      <c r="C24" s="8">
        <f>MAX(SUMIF(Sheet1!B:B,$A24,Sheet1!D:D)-SUMIF(Sheet1!B:B,$A24,Sheet1!C:C),0)</f>
        <v>2000</v>
      </c>
    </row>
    <row r="25" spans="1:3">
      <c r="A25" t="s">
        <v>39</v>
      </c>
      <c r="B25" s="8">
        <f>MAX(SUMIF(Sheet1!B:B,$A25,Sheet1!C:C)-SUMIF(Sheet1!B:B,$A25,Sheet1!D:D),0)</f>
        <v>190000</v>
      </c>
      <c r="C25" s="8">
        <f>MAX(SUMIF(Sheet1!B:B,$A25,Sheet1!D:D)-SUMIF(Sheet1!B:B,$A25,Sheet1!C:C),0)</f>
        <v>0</v>
      </c>
    </row>
    <row r="26" spans="1:3">
      <c r="A26" t="s">
        <v>40</v>
      </c>
      <c r="B26" s="8">
        <f>MAX(SUMIF(Sheet1!B:B,$A26,Sheet1!C:C)-SUMIF(Sheet1!B:B,$A26,Sheet1!D:D),0)</f>
        <v>40000</v>
      </c>
      <c r="C26" s="8">
        <f>MAX(SUMIF(Sheet1!B:B,$A26,Sheet1!D:D)-SUMIF(Sheet1!B:B,$A26,Sheet1!C:C),0)</f>
        <v>0</v>
      </c>
    </row>
    <row r="27" spans="1:3">
      <c r="A27" t="s">
        <v>42</v>
      </c>
      <c r="B27" s="8">
        <f>MAX(SUMIF(Sheet1!B:B,$A27,Sheet1!C:C)-SUMIF(Sheet1!B:B,$A27,Sheet1!D:D),0)</f>
        <v>0</v>
      </c>
      <c r="C27" s="8">
        <f>MAX(SUMIF(Sheet1!B:B,$A27,Sheet1!D:D)-SUMIF(Sheet1!B:B,$A27,Sheet1!C:C),0)</f>
        <v>500000</v>
      </c>
    </row>
    <row r="28" spans="1:3">
      <c r="A28" t="s">
        <v>44</v>
      </c>
      <c r="B28" s="8">
        <f>MAX(SUMIF(Sheet1!B:B,$A28,Sheet1!C:C)-SUMIF(Sheet1!B:B,$A28,Sheet1!D:D),0)</f>
        <v>75000</v>
      </c>
      <c r="C28" s="8">
        <f>MAX(SUMIF(Sheet1!B:B,$A28,Sheet1!D:D)-SUMIF(Sheet1!B:B,$A28,Sheet1!C:C),0)</f>
        <v>0</v>
      </c>
    </row>
    <row r="29" spans="1:3">
      <c r="A29" t="s">
        <v>49</v>
      </c>
      <c r="B29" s="8">
        <f>MAX(SUMIF(Sheet1!B:B,$A29,Sheet1!C:C)-SUMIF(Sheet1!B:B,$A29,Sheet1!D:D),0)</f>
        <v>48500</v>
      </c>
      <c r="C29" s="8">
        <f>MAX(SUMIF(Sheet1!B:B,$A29,Sheet1!D:D)-SUMIF(Sheet1!B:B,$A29,Sheet1!C:C),0)</f>
        <v>0</v>
      </c>
    </row>
    <row r="30" spans="1:3">
      <c r="A30" t="s">
        <v>50</v>
      </c>
      <c r="B30" s="8">
        <f>MAX(SUMIF(Sheet1!B:B,$A30,Sheet1!C:C)-SUMIF(Sheet1!B:B,$A30,Sheet1!D:D),0)</f>
        <v>0</v>
      </c>
      <c r="C30" s="8">
        <f>MAX(SUMIF(Sheet1!B:B,$A30,Sheet1!D:D)-SUMIF(Sheet1!B:B,$A30,Sheet1!C:C),0)</f>
        <v>9525</v>
      </c>
    </row>
    <row r="31" spans="1:3">
      <c r="A31" t="s">
        <v>51</v>
      </c>
      <c r="B31" s="8">
        <f>MAX(SUMIF(Sheet1!B:B,$A31,Sheet1!C:C)-SUMIF(Sheet1!B:B,$A31,Sheet1!D:D),0)</f>
        <v>550</v>
      </c>
      <c r="C31" s="8">
        <f>MAX(SUMIF(Sheet1!B:B,$A31,Sheet1!D:D)-SUMIF(Sheet1!B:B,$A31,Sheet1!C:C),0)</f>
        <v>0</v>
      </c>
    </row>
    <row r="32" spans="1:3">
      <c r="A32" t="s">
        <v>53</v>
      </c>
      <c r="B32" s="8">
        <f>MAX(SUMIF(Sheet1!B:B,$A32,Sheet1!C:C)-SUMIF(Sheet1!B:B,$A32,Sheet1!D:D),0)</f>
        <v>6300000</v>
      </c>
      <c r="C32" s="8">
        <f>MAX(SUMIF(Sheet1!B:B,$A32,Sheet1!D:D)-SUMIF(Sheet1!B:B,$A32,Sheet1!C:C),0)</f>
        <v>0</v>
      </c>
    </row>
    <row r="33" spans="1:3">
      <c r="A33" t="s">
        <v>54</v>
      </c>
      <c r="B33" s="8">
        <f>MAX(SUMIF(Sheet1!B:B,$A33,Sheet1!C:C)-SUMIF(Sheet1!B:B,$A33,Sheet1!D:D),0)</f>
        <v>0</v>
      </c>
      <c r="C33" s="8">
        <f>MAX(SUMIF(Sheet1!B:B,$A33,Sheet1!D:D)-SUMIF(Sheet1!B:B,$A33,Sheet1!C:C),0)</f>
        <v>0</v>
      </c>
    </row>
    <row r="34" spans="1:3">
      <c r="A34" t="s">
        <v>55</v>
      </c>
      <c r="B34" s="8">
        <f>MAX(SUMIF(Sheet1!B:B,$A34,Sheet1!C:C)-SUMIF(Sheet1!B:B,$A34,Sheet1!D:D),0)</f>
        <v>239086</v>
      </c>
      <c r="C34" s="8">
        <f>MAX(SUMIF(Sheet1!B:B,$A34,Sheet1!D:D)-SUMIF(Sheet1!B:B,$A34,Sheet1!C:C),0)</f>
        <v>0</v>
      </c>
    </row>
    <row r="35" spans="1:3">
      <c r="A35" t="s">
        <v>57</v>
      </c>
      <c r="B35" s="8">
        <f>MAX(SUMIF(Sheet1!B:B,$A35,Sheet1!C:C)-SUMIF(Sheet1!B:B,$A35,Sheet1!D:D),0)</f>
        <v>0</v>
      </c>
      <c r="C35" s="8">
        <f>MAX(SUMIF(Sheet1!B:B,$A35,Sheet1!D:D)-SUMIF(Sheet1!B:B,$A35,Sheet1!C:C),0)</f>
        <v>20000000</v>
      </c>
    </row>
    <row r="36" spans="1:3">
      <c r="A36" t="s">
        <v>58</v>
      </c>
      <c r="B36" s="8">
        <f>MAX(SUMIF(Sheet1!B:B,$A36,Sheet1!C:C)-SUMIF(Sheet1!B:B,$A36,Sheet1!D:D),0)</f>
        <v>124300</v>
      </c>
      <c r="C36" s="8">
        <f>MAX(SUMIF(Sheet1!B:B,$A36,Sheet1!D:D)-SUMIF(Sheet1!B:B,$A36,Sheet1!C:C),0)</f>
        <v>0</v>
      </c>
    </row>
    <row r="37" spans="1:3">
      <c r="A37" t="s">
        <v>61</v>
      </c>
      <c r="B37" s="8">
        <f>MAX(SUMIF(Sheet1!B:B,$A37,Sheet1!C:C)-SUMIF(Sheet1!B:B,$A37,Sheet1!D:D),0)</f>
        <v>0</v>
      </c>
      <c r="C37" s="8">
        <f>MAX(SUMIF(Sheet1!B:B,$A37,Sheet1!D:D)-SUMIF(Sheet1!B:B,$A37,Sheet1!C:C),0)</f>
        <v>2000000</v>
      </c>
    </row>
    <row r="38" spans="1:3">
      <c r="A38" t="s">
        <v>63</v>
      </c>
      <c r="B38" s="8">
        <f>MAX(SUMIF(Sheet1!B:B,$A38,Sheet1!C:C)-SUMIF(Sheet1!B:B,$A38,Sheet1!D:D),0)</f>
        <v>2000000</v>
      </c>
      <c r="C38" s="8">
        <f>MAX(SUMIF(Sheet1!B:B,$A38,Sheet1!D:D)-SUMIF(Sheet1!B:B,$A38,Sheet1!C:C),0)</f>
        <v>0</v>
      </c>
    </row>
    <row r="39" spans="1:3">
      <c r="A39" t="s">
        <v>65</v>
      </c>
      <c r="B39" s="8">
        <f>MAX(SUMIF(Sheet1!B:B,$A39,Sheet1!C:C)-SUMIF(Sheet1!B:B,$A39,Sheet1!D:D),0)</f>
        <v>12000000</v>
      </c>
      <c r="C39" s="8">
        <f>MAX(SUMIF(Sheet1!B:B,$A39,Sheet1!D:D)-SUMIF(Sheet1!B:B,$A39,Sheet1!C:C),0)</f>
        <v>0</v>
      </c>
    </row>
    <row r="40" spans="1:3">
      <c r="A40" t="s">
        <v>66</v>
      </c>
      <c r="B40" s="8">
        <f>MAX(SUMIF(Sheet1!B:B,$A40,Sheet1!C:C)-SUMIF(Sheet1!B:B,$A40,Sheet1!D:D),0)</f>
        <v>500000</v>
      </c>
      <c r="C40" s="8">
        <f>MAX(SUMIF(Sheet1!B:B,$A40,Sheet1!D:D)-SUMIF(Sheet1!B:B,$A40,Sheet1!C:C),0)</f>
        <v>0</v>
      </c>
    </row>
    <row r="41" spans="1:3">
      <c r="A41" t="s">
        <v>67</v>
      </c>
      <c r="B41" s="8">
        <f>MAX(SUMIF(Sheet1!B:B,$A41,Sheet1!C:C)-SUMIF(Sheet1!B:B,$A41,Sheet1!D:D),0)</f>
        <v>500000</v>
      </c>
      <c r="C41" s="8">
        <f>MAX(SUMIF(Sheet1!B:B,$A41,Sheet1!D:D)-SUMIF(Sheet1!B:B,$A41,Sheet1!C:C),0)</f>
        <v>0</v>
      </c>
    </row>
    <row r="42" spans="1:3">
      <c r="A42" t="s">
        <v>69</v>
      </c>
      <c r="B42" s="8">
        <f>MAX(SUMIF(Sheet1!B:B,$A42,Sheet1!C:C)-SUMIF(Sheet1!B:B,$A42,Sheet1!D:D),0)</f>
        <v>220000</v>
      </c>
      <c r="C42" s="8">
        <f>MAX(SUMIF(Sheet1!B:B,$A42,Sheet1!D:D)-SUMIF(Sheet1!B:B,$A42,Sheet1!C:C),0)</f>
        <v>0</v>
      </c>
    </row>
    <row r="43" spans="1:3">
      <c r="A43" t="s">
        <v>70</v>
      </c>
      <c r="B43" s="8">
        <f>MAX(SUMIF(Sheet1!B:B,$A43,Sheet1!C:C)-SUMIF(Sheet1!B:B,$A43,Sheet1!D:D),0)</f>
        <v>2000</v>
      </c>
      <c r="C43" s="8">
        <f>MAX(SUMIF(Sheet1!B:B,$A43,Sheet1!D:D)-SUMIF(Sheet1!B:B,$A43,Sheet1!C:C),0)</f>
        <v>0</v>
      </c>
    </row>
    <row r="44" spans="1:3">
      <c r="A44" t="s">
        <v>71</v>
      </c>
      <c r="B44" s="8">
        <f>MAX(SUMIF(Sheet1!B:B,$A44,Sheet1!C:C)-SUMIF(Sheet1!B:B,$A44,Sheet1!D:D),0)</f>
        <v>1700000</v>
      </c>
      <c r="C44" s="8">
        <f>MAX(SUMIF(Sheet1!B:B,$A44,Sheet1!D:D)-SUMIF(Sheet1!B:B,$A44,Sheet1!C:C),0)</f>
        <v>0</v>
      </c>
    </row>
    <row r="45" spans="1:3">
      <c r="A45" t="s">
        <v>73</v>
      </c>
      <c r="B45" s="8">
        <f>MAX(SUMIF(Sheet1!B:B,$A45,Sheet1!C:C)-SUMIF(Sheet1!B:B,$A45,Sheet1!D:D),0)</f>
        <v>0</v>
      </c>
      <c r="C45" s="8">
        <f>MAX(SUMIF(Sheet1!B:B,$A45,Sheet1!D:D)-SUMIF(Sheet1!B:B,$A45,Sheet1!C:C),0)</f>
        <v>40000</v>
      </c>
    </row>
    <row r="46" spans="1:3">
      <c r="A46" t="s">
        <v>76</v>
      </c>
      <c r="B46" s="8">
        <f>MAX(SUMIF(Sheet1!B:B,$A46,Sheet1!C:C)-SUMIF(Sheet1!B:B,$A46,Sheet1!D:D),0)</f>
        <v>2471</v>
      </c>
      <c r="C46" s="8">
        <f>MAX(SUMIF(Sheet1!B:B,$A46,Sheet1!D:D)-SUMIF(Sheet1!B:B,$A46,Sheet1!C:C),0)</f>
        <v>0</v>
      </c>
    </row>
    <row r="47" spans="1:3">
      <c r="A47" t="s">
        <v>80</v>
      </c>
      <c r="B47" s="8">
        <f>MAX(SUMIF(Sheet1!B:B,$A47,Sheet1!C:C)-SUMIF(Sheet1!B:B,$A47,Sheet1!D:D),0)</f>
        <v>0</v>
      </c>
      <c r="C47" s="8">
        <f>MAX(SUMIF(Sheet1!B:B,$A47,Sheet1!D:D)-SUMIF(Sheet1!B:B,$A47,Sheet1!C:C),0)</f>
        <v>15000000</v>
      </c>
    </row>
    <row r="48" spans="1:3">
      <c r="A48" t="s">
        <v>83</v>
      </c>
      <c r="B48" s="8">
        <f>MAX(SUMIF(Sheet1!B:B,$A48,Sheet1!C:C)-SUMIF(Sheet1!B:B,$A48,Sheet1!D:D),0)</f>
        <v>0</v>
      </c>
      <c r="C48" s="8">
        <f>MAX(SUMIF(Sheet1!B:B,$A48,Sheet1!D:D)-SUMIF(Sheet1!B:B,$A48,Sheet1!C:C),0)</f>
        <v>15600000</v>
      </c>
    </row>
    <row r="49" spans="1:3">
      <c r="A49" t="s">
        <v>85</v>
      </c>
      <c r="B49" s="8">
        <f>MAX(SUMIF(Sheet1!B:B,$A49,Sheet1!C:C)-SUMIF(Sheet1!B:B,$A49,Sheet1!D:D),0)</f>
        <v>8700000</v>
      </c>
      <c r="C49" s="8">
        <f>MAX(SUMIF(Sheet1!B:B,$A49,Sheet1!D:D)-SUMIF(Sheet1!B:B,$A49,Sheet1!C:C),0)</f>
        <v>0</v>
      </c>
    </row>
    <row r="50" spans="1:3">
      <c r="A50" t="s">
        <v>87</v>
      </c>
      <c r="B50" s="8">
        <f>MAX(SUMIF(Sheet1!B:B,$A50,Sheet1!C:C)-SUMIF(Sheet1!B:B,$A50,Sheet1!D:D),0)</f>
        <v>1800000</v>
      </c>
      <c r="C50" s="8">
        <f>MAX(SUMIF(Sheet1!B:B,$A50,Sheet1!D:D)-SUMIF(Sheet1!B:B,$A50,Sheet1!C:C),0)</f>
        <v>0</v>
      </c>
    </row>
    <row r="51" spans="1:3">
      <c r="A51" t="s">
        <v>88</v>
      </c>
      <c r="B51" s="8">
        <f>MAX(SUMIF(Sheet1!B:B,$A51,Sheet1!C:C)-SUMIF(Sheet1!B:B,$A51,Sheet1!D:D),0)</f>
        <v>2000000</v>
      </c>
      <c r="C51" s="8">
        <f>MAX(SUMIF(Sheet1!B:B,$A51,Sheet1!D:D)-SUMIF(Sheet1!B:B,$A51,Sheet1!C:C),0)</f>
        <v>0</v>
      </c>
    </row>
    <row r="52" spans="1:3">
      <c r="A52" t="s">
        <v>89</v>
      </c>
      <c r="B52" s="8">
        <f>MAX(SUMIF(Sheet1!B:B,$A52,Sheet1!C:C)-SUMIF(Sheet1!B:B,$A52,Sheet1!D:D),0)</f>
        <v>15600000</v>
      </c>
      <c r="C52" s="8">
        <f>MAX(SUMIF(Sheet1!B:B,$A52,Sheet1!D:D)-SUMIF(Sheet1!B:B,$A52,Sheet1!C:C),0)</f>
        <v>0</v>
      </c>
    </row>
    <row r="53" spans="1:3">
      <c r="A53" t="s">
        <v>90</v>
      </c>
      <c r="B53" s="8">
        <f>MAX(SUMIF(Sheet1!B:B,$A53,Sheet1!C:C)-SUMIF(Sheet1!B:B,$A53,Sheet1!D:D),0)</f>
        <v>4500</v>
      </c>
      <c r="C53" s="8">
        <f>MAX(SUMIF(Sheet1!B:B,$A53,Sheet1!D:D)-SUMIF(Sheet1!B:B,$A53,Sheet1!C:C),0)</f>
        <v>0</v>
      </c>
    </row>
    <row r="54" spans="1:3">
      <c r="A54" t="s">
        <v>91</v>
      </c>
      <c r="B54" s="8">
        <f>MAX(SUMIF(Sheet1!B:B,$A54,Sheet1!C:C)-SUMIF(Sheet1!B:B,$A54,Sheet1!D:D),0)</f>
        <v>339000</v>
      </c>
      <c r="C54" s="8">
        <f>MAX(SUMIF(Sheet1!B:B,$A54,Sheet1!D:D)-SUMIF(Sheet1!B:B,$A54,Sheet1!C:C),0)</f>
        <v>0</v>
      </c>
    </row>
    <row r="55" spans="1:3">
      <c r="A55" t="s">
        <v>93</v>
      </c>
      <c r="B55" s="8">
        <f>MAX(SUMIF(Sheet1!B:B,$A55,Sheet1!C:C)-SUMIF(Sheet1!B:B,$A55,Sheet1!D:D),0)</f>
        <v>0</v>
      </c>
      <c r="C55" s="8">
        <f>MAX(SUMIF(Sheet1!B:B,$A55,Sheet1!D:D)-SUMIF(Sheet1!B:B,$A55,Sheet1!C:C),0)</f>
        <v>1500000</v>
      </c>
    </row>
    <row r="56" spans="1:3">
      <c r="A56" t="s">
        <v>94</v>
      </c>
      <c r="B56" s="8">
        <f>MAX(SUMIF(Sheet1!B:B,$A56,Sheet1!C:C)-SUMIF(Sheet1!B:B,$A56,Sheet1!D:D),0)</f>
        <v>0</v>
      </c>
      <c r="C56" s="8">
        <f>MAX(SUMIF(Sheet1!B:B,$A56,Sheet1!D:D)-SUMIF(Sheet1!B:B,$A56,Sheet1!C:C),0)</f>
        <v>2500000</v>
      </c>
    </row>
    <row r="57" spans="1:3">
      <c r="A57" t="s">
        <v>96</v>
      </c>
      <c r="B57" s="8">
        <f>MAX(SUMIF(Sheet1!B:B,$A57,Sheet1!C:C)-SUMIF(Sheet1!B:B,$A57,Sheet1!D:D),0)</f>
        <v>0</v>
      </c>
      <c r="C57" s="8">
        <f>MAX(SUMIF(Sheet1!B:B,$A57,Sheet1!D:D)-SUMIF(Sheet1!B:B,$A57,Sheet1!C:C),0)</f>
        <v>0</v>
      </c>
    </row>
    <row r="58" spans="1:3">
      <c r="A58" t="s">
        <v>97</v>
      </c>
      <c r="B58" s="8">
        <f>MAX(SUMIF(Sheet1!B:B,$A58,Sheet1!C:C)-SUMIF(Sheet1!B:B,$A58,Sheet1!D:D),0)</f>
        <v>800000</v>
      </c>
      <c r="C58" s="8">
        <f>MAX(SUMIF(Sheet1!B:B,$A58,Sheet1!D:D)-SUMIF(Sheet1!B:B,$A58,Sheet1!C:C),0)</f>
        <v>0</v>
      </c>
    </row>
    <row r="59" spans="1:3">
      <c r="A59" t="s">
        <v>98</v>
      </c>
      <c r="B59" s="8">
        <f>MAX(SUMIF(Sheet1!B:B,$A59,Sheet1!C:C)-SUMIF(Sheet1!B:B,$A59,Sheet1!D:D),0)</f>
        <v>200000</v>
      </c>
      <c r="C59" s="8">
        <f>MAX(SUMIF(Sheet1!B:B,$A59,Sheet1!D:D)-SUMIF(Sheet1!B:B,$A59,Sheet1!C:C),0)</f>
        <v>0</v>
      </c>
    </row>
    <row r="60" spans="1:3">
      <c r="A60" t="s">
        <v>100</v>
      </c>
      <c r="B60" s="8">
        <f>MAX(SUMIF(Sheet1!B:B,$A60,Sheet1!C:C)-SUMIF(Sheet1!B:B,$A60,Sheet1!D:D),0)</f>
        <v>545083.75</v>
      </c>
      <c r="C60" s="8">
        <f>MAX(SUMIF(Sheet1!B:B,$A60,Sheet1!D:D)-SUMIF(Sheet1!B:B,$A60,Sheet1!C:C),0)</f>
        <v>0</v>
      </c>
    </row>
    <row r="61" spans="1:3">
      <c r="A61" t="s">
        <v>101</v>
      </c>
      <c r="B61" s="8">
        <f>MAX(SUMIF(Sheet1!B:B,$A61,Sheet1!C:C)-SUMIF(Sheet1!B:B,$A61,Sheet1!D:D),0)</f>
        <v>0</v>
      </c>
      <c r="C61" s="8">
        <f>MAX(SUMIF(Sheet1!B:B,$A61,Sheet1!D:D)-SUMIF(Sheet1!B:B,$A61,Sheet1!C:C),0)</f>
        <v>537848.125</v>
      </c>
    </row>
    <row r="62" spans="1:3">
      <c r="A62" t="s">
        <v>102</v>
      </c>
      <c r="B62" s="8">
        <f>MAX(SUMIF(Sheet1!B:B,$A62,Sheet1!C:C)-SUMIF(Sheet1!B:B,$A62,Sheet1!D:D),0)</f>
        <v>2210</v>
      </c>
      <c r="C62" s="8">
        <f>MAX(SUMIF(Sheet1!B:B,$A62,Sheet1!D:D)-SUMIF(Sheet1!B:B,$A62,Sheet1!C:C),0)</f>
        <v>0</v>
      </c>
    </row>
    <row r="63" spans="1:3">
      <c r="A63" t="s">
        <v>104</v>
      </c>
      <c r="B63" s="8">
        <f>MAX(SUMIF(Sheet1!B:B,$A63,Sheet1!C:C)-SUMIF(Sheet1!B:B,$A63,Sheet1!D:D),0)</f>
        <v>0</v>
      </c>
      <c r="C63" s="8">
        <f>MAX(SUMIF(Sheet1!B:B,$A63,Sheet1!D:D)-SUMIF(Sheet1!B:B,$A63,Sheet1!C:C),0)</f>
        <v>115990</v>
      </c>
    </row>
    <row r="64" spans="1:3">
      <c r="A64" t="s">
        <v>105</v>
      </c>
      <c r="B64" s="8">
        <f>MAX(SUMIF(Sheet1!B:B,$A64,Sheet1!C:C)-SUMIF(Sheet1!B:B,$A64,Sheet1!D:D),0)</f>
        <v>15000</v>
      </c>
      <c r="C64" s="8">
        <f>MAX(SUMIF(Sheet1!B:B,$A64,Sheet1!D:D)-SUMIF(Sheet1!B:B,$A64,Sheet1!C:C),0)</f>
        <v>0</v>
      </c>
    </row>
    <row r="65" spans="1:3">
      <c r="A65" t="s">
        <v>106</v>
      </c>
      <c r="B65" s="8">
        <f>MAX(SUMIF(Sheet1!B:B,$A65,Sheet1!C:C)-SUMIF(Sheet1!B:B,$A65,Sheet1!D:D),0)</f>
        <v>0</v>
      </c>
      <c r="C65" s="8">
        <f>MAX(SUMIF(Sheet1!B:B,$A65,Sheet1!D:D)-SUMIF(Sheet1!B:B,$A65,Sheet1!C:C),0)</f>
        <v>22061</v>
      </c>
    </row>
    <row r="66" spans="1:3">
      <c r="A66" s="7" t="s">
        <v>109</v>
      </c>
      <c r="B66" s="9">
        <f>SUM(B2:B65)</f>
        <v>61812109.75</v>
      </c>
      <c r="C66" s="9">
        <f>SUM(C2:C65)</f>
        <v>61812109.75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L51"/>
  <sheetViews>
    <sheetView showGridLines="0" view="pageBreakPreview" topLeftCell="A32" zoomScale="120" zoomScaleNormal="120" zoomScaleSheetLayoutView="120" workbookViewId="0">
      <selection activeCell="D49" sqref="D49"/>
    </sheetView>
  </sheetViews>
  <sheetFormatPr defaultColWidth="8.6328125" defaultRowHeight="13.5"/>
  <cols>
    <col min="1" max="1" width="35.6328125" style="83" customWidth="1"/>
    <col min="2" max="2" width="6.6328125" style="118" customWidth="1"/>
    <col min="3" max="3" width="15.81640625" style="118" customWidth="1"/>
    <col min="4" max="4" width="19.81640625" style="118" customWidth="1"/>
    <col min="5" max="5" width="17.453125" style="83" hidden="1" customWidth="1"/>
    <col min="6" max="6" width="20.6328125" style="83" hidden="1" customWidth="1"/>
    <col min="7" max="7" width="12.453125" style="83" bestFit="1" customWidth="1"/>
    <col min="8" max="8" width="15" style="84" hidden="1" customWidth="1"/>
    <col min="9" max="9" width="15.81640625" style="84" bestFit="1" customWidth="1"/>
    <col min="10" max="10" width="14.7265625" style="83" bestFit="1" customWidth="1"/>
    <col min="11" max="11" width="12.6328125" style="83" bestFit="1" customWidth="1"/>
    <col min="12" max="12" width="12" style="83" bestFit="1" customWidth="1"/>
    <col min="13" max="16384" width="8.6328125" style="83"/>
  </cols>
  <sheetData>
    <row r="1" spans="1:12" ht="17.5">
      <c r="A1" s="322" t="s">
        <v>571</v>
      </c>
      <c r="B1" s="322"/>
      <c r="C1" s="322"/>
      <c r="D1" s="322"/>
      <c r="E1" s="322"/>
      <c r="F1" s="82"/>
    </row>
    <row r="2" spans="1:12" s="86" customFormat="1" ht="14">
      <c r="A2" s="323" t="s">
        <v>237</v>
      </c>
      <c r="B2" s="323"/>
      <c r="C2" s="323"/>
      <c r="D2" s="323"/>
      <c r="E2" s="323"/>
      <c r="F2" s="85"/>
      <c r="H2" s="87"/>
      <c r="I2" s="87"/>
    </row>
    <row r="3" spans="1:12" s="86" customFormat="1" ht="14">
      <c r="A3" s="323" t="s">
        <v>604</v>
      </c>
      <c r="B3" s="323"/>
      <c r="C3" s="323"/>
      <c r="D3" s="323"/>
      <c r="E3" s="323"/>
      <c r="F3" s="85"/>
      <c r="H3" s="87"/>
      <c r="I3" s="87"/>
    </row>
    <row r="4" spans="1:12">
      <c r="A4" s="88"/>
      <c r="B4" s="89"/>
      <c r="C4" s="89"/>
      <c r="D4" s="89"/>
      <c r="E4" s="90"/>
      <c r="F4" s="90" t="s">
        <v>238</v>
      </c>
    </row>
    <row r="5" spans="1:12" ht="20" customHeight="1">
      <c r="A5" s="88"/>
      <c r="B5" s="89"/>
      <c r="C5" s="89" t="s">
        <v>584</v>
      </c>
      <c r="D5" s="91" t="s">
        <v>239</v>
      </c>
      <c r="E5" s="91" t="s">
        <v>239</v>
      </c>
      <c r="F5" s="91" t="s">
        <v>239</v>
      </c>
    </row>
    <row r="6" spans="1:12" s="86" customFormat="1" ht="20" customHeight="1" thickBot="1">
      <c r="A6" s="92"/>
      <c r="B6" s="93" t="s">
        <v>240</v>
      </c>
      <c r="C6" s="93" t="s">
        <v>605</v>
      </c>
      <c r="D6" s="94" t="s">
        <v>585</v>
      </c>
      <c r="E6" s="94" t="s">
        <v>241</v>
      </c>
      <c r="F6" s="94" t="s">
        <v>242</v>
      </c>
      <c r="H6" s="87"/>
      <c r="I6" s="87"/>
    </row>
    <row r="7" spans="1:12" ht="14.5" customHeight="1">
      <c r="A7" s="95" t="s">
        <v>243</v>
      </c>
      <c r="B7" s="89"/>
      <c r="C7" s="89"/>
      <c r="D7" s="89"/>
      <c r="E7" s="89"/>
      <c r="F7" s="96"/>
    </row>
    <row r="8" spans="1:12" s="86" customFormat="1" ht="14.5" customHeight="1">
      <c r="A8" s="95" t="s">
        <v>244</v>
      </c>
      <c r="B8" s="96"/>
      <c r="C8" s="96"/>
      <c r="D8" s="96"/>
      <c r="E8" s="96"/>
      <c r="F8" s="96"/>
      <c r="H8" s="87"/>
      <c r="I8" s="87"/>
    </row>
    <row r="9" spans="1:12" ht="14.5" customHeight="1">
      <c r="A9" s="97" t="s">
        <v>245</v>
      </c>
      <c r="B9" s="89">
        <v>3.1</v>
      </c>
      <c r="C9" s="98">
        <f>'3.1 03.32'!I52</f>
        <v>473888.75</v>
      </c>
      <c r="D9" s="98">
        <f>'3.1 10.18'!I44</f>
        <v>473888.75</v>
      </c>
      <c r="E9" s="98">
        <f>'3.1 10.18'!I42</f>
        <v>604474</v>
      </c>
      <c r="F9" s="98">
        <v>0</v>
      </c>
      <c r="H9" s="84">
        <f>+E9+E11</f>
        <v>604474</v>
      </c>
      <c r="I9" s="84">
        <f>+C9+C11</f>
        <v>473888.75</v>
      </c>
      <c r="K9" s="99"/>
      <c r="L9" s="100"/>
    </row>
    <row r="10" spans="1:12" ht="14.5" customHeight="1">
      <c r="A10" s="97" t="s">
        <v>246</v>
      </c>
      <c r="B10" s="89">
        <v>3.1</v>
      </c>
      <c r="C10" s="98">
        <f>'3.1 03.32'!C76</f>
        <v>17094931.352020204</v>
      </c>
      <c r="D10" s="98">
        <f>'3.1 10.18'!C70</f>
        <v>15814476.15</v>
      </c>
      <c r="E10" s="98">
        <f>'3.1 10.18'!F70</f>
        <v>12985641.15</v>
      </c>
      <c r="F10" s="98">
        <f>'3.1 10.18'!G50</f>
        <v>12985641.15</v>
      </c>
      <c r="K10" s="99"/>
      <c r="L10" s="100"/>
    </row>
    <row r="11" spans="1:12" ht="14.5" customHeight="1">
      <c r="A11" s="97" t="s">
        <v>247</v>
      </c>
      <c r="B11" s="89">
        <v>3.2</v>
      </c>
      <c r="C11" s="98">
        <f>'[5]3.2'!E43</f>
        <v>0</v>
      </c>
      <c r="D11" s="98">
        <f>'[5]3.2'!F43</f>
        <v>0</v>
      </c>
      <c r="E11" s="98">
        <f>'[5]3.2'!E41</f>
        <v>0</v>
      </c>
      <c r="F11" s="98">
        <f>'[5]3.2'!E39</f>
        <v>0</v>
      </c>
      <c r="G11" s="100"/>
      <c r="H11" s="84">
        <v>821236.13</v>
      </c>
      <c r="I11" s="84">
        <f>+'SOI 10.18'!C17</f>
        <v>130585.25</v>
      </c>
      <c r="K11" s="99"/>
      <c r="L11" s="100"/>
    </row>
    <row r="12" spans="1:12" ht="14.5" customHeight="1">
      <c r="A12" s="97" t="s">
        <v>248</v>
      </c>
      <c r="B12" s="89">
        <v>3.3</v>
      </c>
      <c r="C12" s="98">
        <f>'[5]3.3'!C34</f>
        <v>0</v>
      </c>
      <c r="D12" s="98">
        <f>'[5]3.3'!D34</f>
        <v>0</v>
      </c>
      <c r="E12" s="98">
        <f>'[5]3.3'!D34</f>
        <v>0</v>
      </c>
      <c r="F12" s="98">
        <f>'[5]3.3'!E34</f>
        <v>0</v>
      </c>
      <c r="H12" s="84">
        <f>+H9-H11</f>
        <v>-216762.13</v>
      </c>
      <c r="I12" s="84">
        <f>SUM(I9:I11)</f>
        <v>604474</v>
      </c>
      <c r="K12" s="100"/>
      <c r="L12" s="100"/>
    </row>
    <row r="13" spans="1:12" ht="14.5" customHeight="1">
      <c r="A13" s="97" t="s">
        <v>249</v>
      </c>
      <c r="B13" s="89">
        <v>3.4</v>
      </c>
      <c r="C13" s="101">
        <v>0</v>
      </c>
      <c r="D13" s="101">
        <v>0</v>
      </c>
      <c r="E13" s="101">
        <v>0</v>
      </c>
      <c r="F13" s="101">
        <v>0</v>
      </c>
      <c r="I13" s="84">
        <v>2699634.59</v>
      </c>
      <c r="J13" s="102">
        <f>+I12-I13</f>
        <v>-2095160.5899999999</v>
      </c>
    </row>
    <row r="14" spans="1:12" s="86" customFormat="1" ht="14.5" customHeight="1">
      <c r="A14" s="95" t="s">
        <v>250</v>
      </c>
      <c r="B14" s="96"/>
      <c r="C14" s="103">
        <f>SUM(C9:C13)</f>
        <v>17568820.102020204</v>
      </c>
      <c r="D14" s="103">
        <f>SUM(D9:D13)</f>
        <v>16288364.9</v>
      </c>
      <c r="E14" s="103">
        <f>SUM(E9:E13)</f>
        <v>13590115.15</v>
      </c>
      <c r="F14" s="103">
        <f>SUM(F9:F13)</f>
        <v>12985641.15</v>
      </c>
      <c r="H14" s="87"/>
      <c r="I14" s="87"/>
    </row>
    <row r="15" spans="1:12" s="86" customFormat="1" ht="14.5" customHeight="1">
      <c r="A15" s="95" t="s">
        <v>168</v>
      </c>
      <c r="B15" s="96"/>
      <c r="C15" s="96"/>
      <c r="D15" s="96"/>
      <c r="E15" s="96"/>
      <c r="F15" s="104"/>
      <c r="H15" s="87"/>
      <c r="I15" s="87"/>
    </row>
    <row r="16" spans="1:12" ht="14.5" customHeight="1">
      <c r="A16" s="97" t="s">
        <v>248</v>
      </c>
      <c r="B16" s="89">
        <v>3.3</v>
      </c>
      <c r="C16" s="98">
        <f>'[5]3.3'!C35</f>
        <v>0</v>
      </c>
      <c r="D16" s="98">
        <f>'[5]3.3'!D35</f>
        <v>0</v>
      </c>
      <c r="E16" s="98">
        <f>'[5]3.3'!D35</f>
        <v>0</v>
      </c>
      <c r="F16" s="98">
        <f>'[5]3.3'!E35</f>
        <v>0</v>
      </c>
    </row>
    <row r="17" spans="1:12" ht="14.5" customHeight="1">
      <c r="A17" s="97" t="s">
        <v>251</v>
      </c>
      <c r="B17" s="89">
        <v>3.4</v>
      </c>
      <c r="C17" s="98">
        <f>'3.4 to 3.6 ao 03.32'!C36</f>
        <v>25069196.5</v>
      </c>
      <c r="D17" s="98">
        <f>'3.4 to 3.6 ao 10.18'!C32</f>
        <v>21010111.5</v>
      </c>
      <c r="E17" s="98">
        <f>'3.4 to 3.6 ao 10.18'!D32</f>
        <v>15311962</v>
      </c>
      <c r="F17" s="98">
        <f>'3.4 to 3.6 ao 10.18'!E32</f>
        <v>21788699</v>
      </c>
      <c r="H17" s="84" t="s">
        <v>252</v>
      </c>
      <c r="K17" s="99"/>
      <c r="L17" s="100"/>
    </row>
    <row r="18" spans="1:12" ht="14.5" customHeight="1">
      <c r="A18" s="97" t="s">
        <v>253</v>
      </c>
      <c r="B18" s="89">
        <v>3.5</v>
      </c>
      <c r="C18" s="98"/>
      <c r="D18" s="98"/>
      <c r="E18" s="98">
        <f>+'3.4 to 3.6 ao 10.18'!D47</f>
        <v>0</v>
      </c>
      <c r="F18" s="98">
        <f>+'3.4 to 3.6 ao 10.18'!E47</f>
        <v>0</v>
      </c>
      <c r="H18" s="84">
        <v>10922984.810000001</v>
      </c>
      <c r="K18" s="99"/>
      <c r="L18" s="100"/>
    </row>
    <row r="19" spans="1:12" ht="14.5" customHeight="1">
      <c r="A19" s="97" t="s">
        <v>254</v>
      </c>
      <c r="B19" s="89">
        <v>3.6</v>
      </c>
      <c r="C19" s="98">
        <f>'3.4 to 3.6 ao 03.32'!C62</f>
        <v>1615017.35</v>
      </c>
      <c r="D19" s="98">
        <f>'3.4 to 3.6 ao 10.18'!C58</f>
        <v>12637.349999999977</v>
      </c>
      <c r="E19" s="98">
        <f>'3.4 to 3.6 ao 10.18'!D58</f>
        <v>891197</v>
      </c>
      <c r="F19" s="98">
        <f>'3.4 to 3.6 ao 10.18'!E58</f>
        <v>67329</v>
      </c>
      <c r="K19" s="100"/>
      <c r="L19" s="100"/>
    </row>
    <row r="20" spans="1:12" ht="14.5" customHeight="1">
      <c r="A20" s="97" t="s">
        <v>255</v>
      </c>
      <c r="B20" s="89">
        <v>3.7</v>
      </c>
      <c r="C20" s="98">
        <f>+'3.4 to 3.6 ao 10.18'!C68</f>
        <v>0</v>
      </c>
      <c r="D20" s="98">
        <f>+'3.4 to 3.6 ao 10.18'!D68</f>
        <v>0</v>
      </c>
      <c r="E20" s="98">
        <f>+'3.4 to 3.6 ao 10.18'!D68</f>
        <v>0</v>
      </c>
      <c r="F20" s="98">
        <f>+'3.4 to 3.6 ao 10.18'!E68</f>
        <v>0</v>
      </c>
      <c r="K20" s="99"/>
      <c r="L20" s="100"/>
    </row>
    <row r="21" spans="1:12" s="86" customFormat="1" ht="14.5" customHeight="1">
      <c r="A21" s="95" t="s">
        <v>256</v>
      </c>
      <c r="B21" s="96"/>
      <c r="C21" s="105">
        <f>SUM(C16:C20)</f>
        <v>26684213.850000001</v>
      </c>
      <c r="D21" s="105">
        <f>SUM(D16:D20)</f>
        <v>21022748.850000001</v>
      </c>
      <c r="E21" s="105">
        <f>SUM(E16:E20)</f>
        <v>16203159</v>
      </c>
      <c r="F21" s="105">
        <f>SUM(F16:F20)</f>
        <v>21856028</v>
      </c>
      <c r="H21" s="87"/>
      <c r="I21" s="87"/>
    </row>
    <row r="22" spans="1:12" s="86" customFormat="1" ht="14.5" customHeight="1" thickBot="1">
      <c r="A22" s="95" t="s">
        <v>257</v>
      </c>
      <c r="B22" s="96"/>
      <c r="C22" s="106">
        <f>C21+C14</f>
        <v>44253033.952020206</v>
      </c>
      <c r="D22" s="106">
        <f>D21+D14</f>
        <v>37311113.75</v>
      </c>
      <c r="E22" s="107">
        <f>E21+E14</f>
        <v>29793274.149999999</v>
      </c>
      <c r="F22" s="107">
        <f>F21+F14</f>
        <v>34841669.149999999</v>
      </c>
      <c r="G22" s="108"/>
      <c r="H22" s="87"/>
      <c r="I22" s="87"/>
    </row>
    <row r="23" spans="1:12" s="86" customFormat="1" ht="14.5" customHeight="1" thickTop="1">
      <c r="A23" s="95" t="s">
        <v>258</v>
      </c>
      <c r="B23" s="96"/>
      <c r="C23" s="96"/>
      <c r="D23" s="96"/>
      <c r="E23" s="96"/>
      <c r="F23" s="96"/>
      <c r="H23" s="87"/>
      <c r="I23" s="87"/>
    </row>
    <row r="24" spans="1:12" s="86" customFormat="1" ht="14.5" customHeight="1">
      <c r="A24" s="95" t="s">
        <v>259</v>
      </c>
      <c r="B24" s="96"/>
      <c r="C24" s="96"/>
      <c r="D24" s="96"/>
      <c r="E24" s="96"/>
      <c r="F24" s="96"/>
      <c r="H24" s="87"/>
      <c r="I24" s="87"/>
    </row>
    <row r="25" spans="1:12" ht="14.5" customHeight="1">
      <c r="A25" s="97" t="s">
        <v>114</v>
      </c>
      <c r="B25" s="89">
        <v>3.8</v>
      </c>
      <c r="C25" s="98">
        <f>'3.7 to 3.8 03.32'!D35</f>
        <v>44000000</v>
      </c>
      <c r="D25" s="98">
        <f>'3.7 to 3.8 10.18'!D31</f>
        <v>10290000</v>
      </c>
      <c r="E25" s="98">
        <f>'3.7 to 3.8 10.18'!E31</f>
        <v>12600000</v>
      </c>
      <c r="F25" s="98">
        <v>0</v>
      </c>
      <c r="H25" s="84">
        <v>6175421.8300000001</v>
      </c>
      <c r="I25" s="84">
        <f>+H25+E27</f>
        <v>5801845.8300000001</v>
      </c>
      <c r="K25" s="100"/>
      <c r="L25" s="100"/>
    </row>
    <row r="26" spans="1:12" ht="14.5" customHeight="1">
      <c r="A26" s="97" t="s">
        <v>260</v>
      </c>
      <c r="B26" s="89"/>
      <c r="C26" s="98">
        <f>'3.7 to 3.8 03.32'!D42</f>
        <v>500000</v>
      </c>
      <c r="D26" s="98">
        <f>'3.7 to 3.8 10.18'!D38</f>
        <v>22500000</v>
      </c>
      <c r="E26" s="98">
        <v>0</v>
      </c>
      <c r="F26" s="98">
        <f>'3.7 to 3.8 10.18'!E38</f>
        <v>0</v>
      </c>
      <c r="K26" s="100"/>
      <c r="L26" s="100"/>
    </row>
    <row r="27" spans="1:12" ht="14.5" customHeight="1">
      <c r="A27" s="97" t="s">
        <v>261</v>
      </c>
      <c r="B27" s="89">
        <v>3.9</v>
      </c>
      <c r="C27" s="101">
        <f>'3.7 to 3.8 03.32'!D51</f>
        <v>-571961.25</v>
      </c>
      <c r="D27" s="101">
        <f>'3.7 to 3.8 10.18'!D47</f>
        <v>-538061.25</v>
      </c>
      <c r="E27" s="101">
        <f>'3.7 to 3.8 10.18'!E47</f>
        <v>-373576</v>
      </c>
      <c r="F27" s="101">
        <f>'3.7 to 3.8 10.18'!E45</f>
        <v>-196480</v>
      </c>
      <c r="H27" s="84">
        <v>-6165121.9300000221</v>
      </c>
      <c r="I27" s="84">
        <f>+H27-E27</f>
        <v>-5791545.9300000221</v>
      </c>
      <c r="K27" s="100"/>
      <c r="L27" s="100"/>
    </row>
    <row r="28" spans="1:12" s="86" customFormat="1" ht="14.5" customHeight="1">
      <c r="A28" s="95" t="s">
        <v>262</v>
      </c>
      <c r="B28" s="96"/>
      <c r="C28" s="109">
        <f>SUM(C25:C27)</f>
        <v>43928038.75</v>
      </c>
      <c r="D28" s="109">
        <f>SUM(D25:D27)</f>
        <v>32251938.75</v>
      </c>
      <c r="E28" s="109">
        <f>SUM(E25:E27)</f>
        <v>12226424</v>
      </c>
      <c r="F28" s="109">
        <f>SUM(F25:F27)</f>
        <v>-196480</v>
      </c>
      <c r="H28" s="87"/>
      <c r="I28" s="87">
        <v>79025.120000000112</v>
      </c>
    </row>
    <row r="29" spans="1:12" ht="14.5" customHeight="1">
      <c r="A29" s="95" t="s">
        <v>263</v>
      </c>
      <c r="B29" s="89"/>
      <c r="C29" s="89"/>
      <c r="D29" s="89"/>
      <c r="E29" s="98"/>
      <c r="F29" s="89"/>
    </row>
    <row r="30" spans="1:12" ht="14.5" customHeight="1">
      <c r="A30" s="95" t="s">
        <v>264</v>
      </c>
      <c r="B30" s="89"/>
      <c r="C30" s="89"/>
      <c r="D30" s="89"/>
      <c r="E30" s="98"/>
      <c r="F30" s="89"/>
    </row>
    <row r="31" spans="1:12" ht="14.5" customHeight="1">
      <c r="A31" s="97" t="s">
        <v>265</v>
      </c>
      <c r="B31" s="110" t="s">
        <v>266</v>
      </c>
      <c r="C31" s="98">
        <f>'3.9 to 3.11 AO 03.32'!C25</f>
        <v>40000</v>
      </c>
      <c r="D31" s="98">
        <f>'3.9 to 3.11 AO 10.18'!D25</f>
        <v>3870000</v>
      </c>
      <c r="E31" s="98">
        <f>'3.9 to 3.11 AO 10.18'!E25</f>
        <v>17165000</v>
      </c>
      <c r="F31" s="98">
        <f>'3.9 to 3.11 AO 10.18'!F25</f>
        <v>20756010</v>
      </c>
    </row>
    <row r="32" spans="1:12" ht="14.5" customHeight="1">
      <c r="A32" s="97" t="s">
        <v>267</v>
      </c>
      <c r="B32" s="111"/>
      <c r="C32" s="98">
        <f>'3.9 to 3.11 AO 10.18'!D36</f>
        <v>0</v>
      </c>
      <c r="D32" s="98">
        <f>'3.9 to 3.11 AO 10.18'!E36</f>
        <v>0</v>
      </c>
      <c r="E32" s="98">
        <f>'3.9 to 3.11 AO 10.18'!E36</f>
        <v>0</v>
      </c>
      <c r="F32" s="98">
        <f>'3.9 to 3.11 AO 10.18'!F36</f>
        <v>0</v>
      </c>
    </row>
    <row r="33" spans="1:12" ht="14.5" customHeight="1">
      <c r="A33" s="97" t="s">
        <v>268</v>
      </c>
      <c r="B33" s="89"/>
      <c r="C33" s="101"/>
      <c r="D33" s="101"/>
      <c r="E33" s="101">
        <v>0</v>
      </c>
      <c r="F33" s="101">
        <v>0</v>
      </c>
    </row>
    <row r="34" spans="1:12" s="86" customFormat="1" ht="14.5" customHeight="1">
      <c r="A34" s="95" t="s">
        <v>269</v>
      </c>
      <c r="B34" s="96"/>
      <c r="C34" s="109">
        <f>SUM(C31:C33)</f>
        <v>40000</v>
      </c>
      <c r="D34" s="109">
        <f>SUM(D31:D33)</f>
        <v>3870000</v>
      </c>
      <c r="E34" s="105">
        <f>SUM(E31:E33)</f>
        <v>17165000</v>
      </c>
      <c r="F34" s="105">
        <f>SUM(F31:F33)</f>
        <v>20756010</v>
      </c>
      <c r="H34" s="87"/>
      <c r="I34" s="87"/>
    </row>
    <row r="35" spans="1:12" ht="14.5" customHeight="1">
      <c r="A35" s="95" t="s">
        <v>127</v>
      </c>
      <c r="B35" s="89"/>
      <c r="C35" s="89"/>
      <c r="D35" s="89"/>
      <c r="E35" s="98"/>
      <c r="F35" s="98"/>
    </row>
    <row r="36" spans="1:12" ht="14.5" customHeight="1">
      <c r="A36" s="97" t="s">
        <v>265</v>
      </c>
      <c r="B36" s="110" t="s">
        <v>266</v>
      </c>
      <c r="C36" s="98">
        <f>'3.9 to 3.11 AO 10.18'!D26</f>
        <v>0</v>
      </c>
      <c r="D36" s="98">
        <f>'3.9 to 3.11 AO 10.18'!E26</f>
        <v>0</v>
      </c>
      <c r="E36" s="98">
        <f>'3.9 to 3.11 AO 10.18'!E26</f>
        <v>0</v>
      </c>
      <c r="F36" s="98">
        <f>'3.9 to 3.11 AO 10.18'!F26</f>
        <v>0</v>
      </c>
      <c r="K36" s="100"/>
      <c r="L36" s="100"/>
    </row>
    <row r="37" spans="1:12" ht="14.5" customHeight="1">
      <c r="A37" s="97" t="s">
        <v>270</v>
      </c>
      <c r="B37" s="112">
        <v>3.11</v>
      </c>
      <c r="C37" s="98">
        <f>'3.9 to 3.11 AO 03.32'!C50+'3.9 to 3.11 AO 03.32'!C63</f>
        <v>284995.20202020201</v>
      </c>
      <c r="D37" s="98">
        <f>'3.9 to 3.11 AO 10.18'!D49+'3.9 to 3.11 AO 10.18'!D61</f>
        <v>1189175</v>
      </c>
      <c r="E37" s="98">
        <f>'3.9 to 3.11 AO 10.18'!E49</f>
        <v>401850</v>
      </c>
      <c r="F37" s="98">
        <f>'3.9 to 3.11 AO 10.18'!F49</f>
        <v>28498</v>
      </c>
      <c r="K37" s="100"/>
      <c r="L37" s="100"/>
    </row>
    <row r="38" spans="1:12" ht="14.5" customHeight="1">
      <c r="A38" s="97" t="s">
        <v>271</v>
      </c>
      <c r="B38" s="89"/>
      <c r="C38" s="98">
        <f>'3.9 to 3.11 AO 10.18'!D69</f>
        <v>0</v>
      </c>
      <c r="D38" s="98">
        <f>'3.9 to 3.11 AO 10.18'!E69</f>
        <v>0</v>
      </c>
      <c r="E38" s="98">
        <f>'3.9 to 3.11 AO 10.18'!E69</f>
        <v>0</v>
      </c>
      <c r="F38" s="98">
        <f>'3.9 to 3.11 AO 10.18'!F69</f>
        <v>0</v>
      </c>
    </row>
    <row r="39" spans="1:12" ht="14.5" customHeight="1">
      <c r="A39" s="97" t="s">
        <v>267</v>
      </c>
      <c r="B39" s="89"/>
      <c r="C39" s="98">
        <v>0</v>
      </c>
      <c r="D39" s="98">
        <v>0</v>
      </c>
      <c r="E39" s="98">
        <v>0</v>
      </c>
      <c r="F39" s="98">
        <v>0</v>
      </c>
    </row>
    <row r="40" spans="1:12" ht="14.5" customHeight="1">
      <c r="A40" s="97" t="s">
        <v>268</v>
      </c>
      <c r="B40" s="89"/>
      <c r="C40" s="101">
        <v>0</v>
      </c>
      <c r="D40" s="101">
        <v>0</v>
      </c>
      <c r="E40" s="101">
        <v>0</v>
      </c>
      <c r="F40" s="101">
        <v>0</v>
      </c>
    </row>
    <row r="41" spans="1:12" s="86" customFormat="1" ht="14.5" customHeight="1">
      <c r="A41" s="95" t="s">
        <v>272</v>
      </c>
      <c r="B41" s="96"/>
      <c r="C41" s="105">
        <f>SUM(C36:C40)</f>
        <v>284995.20202020201</v>
      </c>
      <c r="D41" s="105">
        <f>SUM(D36:D40)</f>
        <v>1189175</v>
      </c>
      <c r="E41" s="105">
        <f>SUM(E36:E40)</f>
        <v>401850</v>
      </c>
      <c r="F41" s="105">
        <f>SUM(F36:F40)</f>
        <v>28498</v>
      </c>
      <c r="G41" s="83"/>
      <c r="H41" s="87"/>
      <c r="I41" s="87"/>
    </row>
    <row r="42" spans="1:12" s="86" customFormat="1" ht="14.5" customHeight="1">
      <c r="A42" s="95" t="s">
        <v>273</v>
      </c>
      <c r="B42" s="96"/>
      <c r="C42" s="113">
        <f>C34+C41</f>
        <v>324995.20202020201</v>
      </c>
      <c r="D42" s="113">
        <f>D34+D41</f>
        <v>5059175</v>
      </c>
      <c r="E42" s="113">
        <f>E34+E41</f>
        <v>17566850</v>
      </c>
      <c r="F42" s="113">
        <f>F34+F41</f>
        <v>20784508</v>
      </c>
      <c r="H42" s="87"/>
      <c r="I42" s="87"/>
    </row>
    <row r="43" spans="1:12" s="86" customFormat="1" ht="14.5" customHeight="1" thickBot="1">
      <c r="A43" s="95" t="s">
        <v>274</v>
      </c>
      <c r="B43" s="96"/>
      <c r="C43" s="107">
        <f>C42+C28</f>
        <v>44253033.952020206</v>
      </c>
      <c r="D43" s="107">
        <f>D42+D28</f>
        <v>37311113.75</v>
      </c>
      <c r="E43" s="107">
        <f>E42+E28</f>
        <v>29793274</v>
      </c>
      <c r="F43" s="107">
        <f>F42+F28</f>
        <v>20588028</v>
      </c>
      <c r="H43" s="87"/>
      <c r="I43" s="87"/>
    </row>
    <row r="44" spans="1:12" s="86" customFormat="1" ht="15" customHeight="1" thickTop="1">
      <c r="A44" s="95"/>
      <c r="B44" s="96"/>
      <c r="C44" s="96"/>
      <c r="D44" s="114"/>
      <c r="E44" s="114"/>
      <c r="F44" s="114"/>
      <c r="H44" s="87"/>
      <c r="I44" s="87"/>
    </row>
    <row r="45" spans="1:12" s="86" customFormat="1" ht="15" customHeight="1">
      <c r="A45" s="95"/>
      <c r="B45" s="96"/>
      <c r="C45" s="96"/>
      <c r="D45" s="114"/>
      <c r="E45" s="114"/>
      <c r="F45" s="114"/>
      <c r="H45" s="87"/>
      <c r="I45" s="87"/>
    </row>
    <row r="46" spans="1:12" s="86" customFormat="1" ht="15" customHeight="1">
      <c r="A46" s="95"/>
      <c r="B46" s="96"/>
      <c r="C46" s="96"/>
      <c r="D46" s="114"/>
      <c r="E46" s="114"/>
      <c r="F46" s="114"/>
      <c r="H46" s="87"/>
      <c r="I46" s="87"/>
    </row>
    <row r="47" spans="1:12" s="86" customFormat="1" ht="15" customHeight="1">
      <c r="A47" s="95"/>
      <c r="B47" s="96"/>
      <c r="C47" s="96"/>
      <c r="D47" s="114"/>
      <c r="E47" s="114"/>
      <c r="F47" s="114"/>
      <c r="H47" s="87"/>
      <c r="I47" s="87"/>
    </row>
    <row r="48" spans="1:12" s="86" customFormat="1" ht="15" customHeight="1">
      <c r="A48" s="95"/>
      <c r="B48" s="96"/>
      <c r="C48" s="96"/>
      <c r="D48" s="114"/>
      <c r="E48" s="114"/>
      <c r="F48" s="114"/>
      <c r="H48" s="87"/>
      <c r="I48" s="87"/>
    </row>
    <row r="49" spans="3:6">
      <c r="C49" s="115">
        <f>B22-B43</f>
        <v>0</v>
      </c>
      <c r="D49" s="115">
        <f>C22-C43</f>
        <v>0</v>
      </c>
      <c r="E49" s="115">
        <f>E22-E43</f>
        <v>0.14999999850988388</v>
      </c>
      <c r="F49" s="116">
        <f>F22-F43</f>
        <v>14253641.149999999</v>
      </c>
    </row>
    <row r="50" spans="3:6">
      <c r="D50" s="117"/>
    </row>
    <row r="51" spans="3:6">
      <c r="D51" s="117"/>
    </row>
  </sheetData>
  <mergeCells count="3">
    <mergeCell ref="A1:E1"/>
    <mergeCell ref="A2:E2"/>
    <mergeCell ref="A3:E3"/>
  </mergeCells>
  <pageMargins left="0.7" right="0.7" top="0.75" bottom="0.75" header="0.3" footer="0.3"/>
  <pageSetup paperSize="9" scale="107"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I24"/>
  <sheetViews>
    <sheetView showGridLines="0" view="pageBreakPreview" topLeftCell="A15" zoomScale="120" zoomScaleNormal="130" zoomScaleSheetLayoutView="120" workbookViewId="0">
      <selection activeCell="D15" sqref="D15"/>
    </sheetView>
  </sheetViews>
  <sheetFormatPr defaultColWidth="8.6328125" defaultRowHeight="13.5"/>
  <cols>
    <col min="1" max="1" width="45.453125" style="83" customWidth="1"/>
    <col min="2" max="2" width="8" style="118" customWidth="1"/>
    <col min="3" max="3" width="19.1796875" style="118" customWidth="1"/>
    <col min="4" max="4" width="22.453125" style="83" customWidth="1"/>
    <col min="5" max="5" width="19.453125" style="83" hidden="1" customWidth="1"/>
    <col min="6" max="6" width="14.1796875" style="83" bestFit="1" customWidth="1"/>
    <col min="7" max="7" width="13.81640625" style="83" bestFit="1" customWidth="1"/>
    <col min="8" max="8" width="14.36328125" style="83" bestFit="1" customWidth="1"/>
    <col min="9" max="16384" width="8.6328125" style="83"/>
  </cols>
  <sheetData>
    <row r="1" spans="1:9" ht="17.5">
      <c r="A1" s="322" t="str">
        <f>'SOFP  10.18'!A1</f>
        <v>Magic Arun Hydropower Private Limitd</v>
      </c>
      <c r="B1" s="322"/>
      <c r="C1" s="322"/>
      <c r="D1" s="322"/>
      <c r="E1" s="322"/>
    </row>
    <row r="3" spans="1:9" ht="14">
      <c r="A3" s="323" t="s">
        <v>275</v>
      </c>
      <c r="B3" s="323"/>
      <c r="C3" s="323"/>
      <c r="D3" s="323"/>
      <c r="E3" s="323"/>
    </row>
    <row r="4" spans="1:9" ht="14">
      <c r="A4" s="323" t="s">
        <v>606</v>
      </c>
      <c r="B4" s="323"/>
      <c r="C4" s="323"/>
      <c r="D4" s="323"/>
      <c r="E4" s="323"/>
    </row>
    <row r="5" spans="1:9">
      <c r="E5" s="119" t="s">
        <v>276</v>
      </c>
    </row>
    <row r="6" spans="1:9">
      <c r="E6" s="119" t="s">
        <v>238</v>
      </c>
    </row>
    <row r="7" spans="1:9" s="86" customFormat="1" ht="20" customHeight="1" thickBot="1">
      <c r="A7" s="92" t="s">
        <v>1</v>
      </c>
      <c r="B7" s="93" t="s">
        <v>240</v>
      </c>
      <c r="C7" s="93" t="s">
        <v>607</v>
      </c>
      <c r="D7" s="120" t="s">
        <v>573</v>
      </c>
      <c r="E7" s="120" t="s">
        <v>277</v>
      </c>
    </row>
    <row r="8" spans="1:9" s="86" customFormat="1" ht="20" customHeight="1">
      <c r="A8" s="121" t="s">
        <v>278</v>
      </c>
      <c r="B8" s="122">
        <v>3.12</v>
      </c>
      <c r="C8" s="122"/>
      <c r="D8" s="123">
        <f>'3.12 to 3.18 ao 10.18'!D12</f>
        <v>0</v>
      </c>
      <c r="E8" s="123">
        <f>'3.12 to 3.18 ao 10.18'!E12</f>
        <v>0</v>
      </c>
      <c r="G8" s="124"/>
      <c r="H8" s="100">
        <f>D8-E8</f>
        <v>0</v>
      </c>
      <c r="I8" s="83" t="e">
        <f>H8/E8</f>
        <v>#DIV/0!</v>
      </c>
    </row>
    <row r="9" spans="1:9" ht="20" customHeight="1">
      <c r="A9" s="121" t="s">
        <v>279</v>
      </c>
      <c r="B9" s="121"/>
      <c r="C9" s="121"/>
      <c r="D9" s="123">
        <v>0</v>
      </c>
      <c r="E9" s="123">
        <v>0</v>
      </c>
    </row>
    <row r="10" spans="1:9" ht="20" customHeight="1">
      <c r="A10" s="121" t="s">
        <v>280</v>
      </c>
      <c r="B10" s="122">
        <v>3.13</v>
      </c>
      <c r="C10" s="122"/>
      <c r="D10" s="125">
        <f>'3.12 to 3.18 ao 10.18'!D21</f>
        <v>0</v>
      </c>
      <c r="E10" s="125">
        <f>'3.12 to 3.18 ao 10.18'!E21</f>
        <v>0</v>
      </c>
    </row>
    <row r="11" spans="1:9" s="86" customFormat="1" ht="20" customHeight="1">
      <c r="A11" s="126" t="s">
        <v>281</v>
      </c>
      <c r="B11" s="127"/>
      <c r="C11" s="127"/>
      <c r="D11" s="128">
        <f>SUM(D8:D10)</f>
        <v>0</v>
      </c>
      <c r="E11" s="128">
        <f>SUM(E8:E10)</f>
        <v>0</v>
      </c>
    </row>
    <row r="12" spans="1:9" ht="20" customHeight="1">
      <c r="A12" s="121" t="s">
        <v>282</v>
      </c>
      <c r="B12" s="122">
        <v>3.14</v>
      </c>
      <c r="C12" s="122"/>
      <c r="D12" s="123">
        <f>'3.12 to 3.18 ao 10.18'!D30</f>
        <v>0</v>
      </c>
      <c r="E12" s="123">
        <f>'3.12 to 3.18 ao 10.18'!E30</f>
        <v>0</v>
      </c>
      <c r="F12" s="102" t="e">
        <f>(D12+D13)/D8</f>
        <v>#DIV/0!</v>
      </c>
      <c r="G12" s="102" t="e">
        <f>(E12+E13)/E8</f>
        <v>#DIV/0!</v>
      </c>
      <c r="H12" s="100">
        <f t="shared" ref="H12:H17" si="0">D12-E12</f>
        <v>0</v>
      </c>
      <c r="I12" s="83" t="e">
        <f t="shared" ref="I12:I17" si="1">H12/E12</f>
        <v>#DIV/0!</v>
      </c>
    </row>
    <row r="13" spans="1:9" ht="20" customHeight="1">
      <c r="A13" s="121" t="s">
        <v>283</v>
      </c>
      <c r="B13" s="122">
        <v>3.15</v>
      </c>
      <c r="C13" s="122"/>
      <c r="D13" s="123">
        <f>+'3.12 to 3.18 ao 10.18'!D38</f>
        <v>0</v>
      </c>
      <c r="E13" s="123">
        <f>+'3.12 to 3.18 ao 10.18'!E38</f>
        <v>0</v>
      </c>
      <c r="H13" s="100">
        <f t="shared" si="0"/>
        <v>0</v>
      </c>
      <c r="I13" s="83" t="e">
        <f t="shared" si="1"/>
        <v>#DIV/0!</v>
      </c>
    </row>
    <row r="14" spans="1:9" ht="20" customHeight="1">
      <c r="A14" s="121" t="s">
        <v>284</v>
      </c>
      <c r="B14" s="122">
        <v>3.16</v>
      </c>
      <c r="C14" s="122"/>
      <c r="D14" s="123">
        <f>+'3.12 to 3.18 ao 10.18'!D50</f>
        <v>0</v>
      </c>
      <c r="E14" s="123">
        <f>+'3.12 to 3.18 ao 10.18'!E50</f>
        <v>0</v>
      </c>
      <c r="H14" s="100">
        <f t="shared" si="0"/>
        <v>0</v>
      </c>
      <c r="I14" s="83" t="e">
        <f t="shared" si="1"/>
        <v>#DIV/0!</v>
      </c>
    </row>
    <row r="15" spans="1:9" ht="20" customHeight="1">
      <c r="A15" s="121" t="s">
        <v>285</v>
      </c>
      <c r="B15" s="122">
        <v>3.17</v>
      </c>
      <c r="C15" s="122"/>
      <c r="D15" s="123">
        <f>'3.12 to 3.18 ao 10.18'!D81</f>
        <v>33900</v>
      </c>
      <c r="E15" s="123">
        <f>'3.12 to 3.18 ao 10.18'!E81</f>
        <v>29382</v>
      </c>
      <c r="H15" s="100">
        <f t="shared" si="0"/>
        <v>4518</v>
      </c>
      <c r="I15" s="83">
        <f t="shared" si="1"/>
        <v>0.15376761282417806</v>
      </c>
    </row>
    <row r="16" spans="1:9" ht="20" customHeight="1">
      <c r="A16" s="121" t="s">
        <v>286</v>
      </c>
      <c r="B16" s="122">
        <v>3.18</v>
      </c>
      <c r="C16" s="122"/>
      <c r="D16" s="123">
        <f>'3.12 to 3.18 ao 10.18'!D86</f>
        <v>0</v>
      </c>
      <c r="E16" s="123">
        <f>'3.12 to 3.18 ao 10.18'!E86</f>
        <v>0</v>
      </c>
      <c r="H16" s="100">
        <f t="shared" si="0"/>
        <v>0</v>
      </c>
      <c r="I16" s="83" t="e">
        <f t="shared" si="1"/>
        <v>#DIV/0!</v>
      </c>
    </row>
    <row r="17" spans="1:9" ht="20" customHeight="1">
      <c r="A17" s="121" t="s">
        <v>287</v>
      </c>
      <c r="B17" s="122" t="s">
        <v>288</v>
      </c>
      <c r="C17" s="122"/>
      <c r="D17" s="123">
        <v>0</v>
      </c>
      <c r="E17" s="123">
        <f>+'3.1 10.18'!I28+'[5]3.2'!E30</f>
        <v>147714</v>
      </c>
      <c r="F17" s="84">
        <v>187078.71</v>
      </c>
      <c r="G17" s="100">
        <f>+E17-F17</f>
        <v>-39364.709999999992</v>
      </c>
      <c r="H17" s="100">
        <f t="shared" si="0"/>
        <v>-147714</v>
      </c>
      <c r="I17" s="83">
        <f t="shared" si="1"/>
        <v>-1</v>
      </c>
    </row>
    <row r="18" spans="1:9" s="86" customFormat="1" ht="20" customHeight="1">
      <c r="A18" s="126" t="s">
        <v>289</v>
      </c>
      <c r="B18" s="127"/>
      <c r="C18" s="127"/>
      <c r="D18" s="129">
        <f>SUM(D12:D17)</f>
        <v>33900</v>
      </c>
      <c r="E18" s="129">
        <f>SUM(E12:E17)</f>
        <v>177096</v>
      </c>
    </row>
    <row r="19" spans="1:9" s="86" customFormat="1" ht="20" customHeight="1">
      <c r="A19" s="126" t="s">
        <v>290</v>
      </c>
      <c r="B19" s="127"/>
      <c r="C19" s="127"/>
      <c r="D19" s="130">
        <f>D11-D18</f>
        <v>-33900</v>
      </c>
      <c r="E19" s="128">
        <f>E11-E18</f>
        <v>-177096</v>
      </c>
      <c r="F19" s="86">
        <v>-2368782.9299999997</v>
      </c>
      <c r="G19" s="100">
        <f>+E19-F19</f>
        <v>2191686.9299999997</v>
      </c>
    </row>
    <row r="20" spans="1:9" ht="20" customHeight="1">
      <c r="A20" s="121" t="s">
        <v>291</v>
      </c>
      <c r="B20" s="131"/>
      <c r="C20" s="131"/>
      <c r="D20" s="132">
        <f>SUM(D21:D22)</f>
        <v>0</v>
      </c>
      <c r="E20" s="132">
        <f>SUM(E21:E22)</f>
        <v>0</v>
      </c>
      <c r="G20" s="100"/>
    </row>
    <row r="21" spans="1:9" ht="20" customHeight="1">
      <c r="A21" s="133" t="s">
        <v>292</v>
      </c>
      <c r="B21" s="122"/>
      <c r="C21" s="122"/>
      <c r="D21" s="123">
        <v>0</v>
      </c>
      <c r="E21" s="134">
        <v>0</v>
      </c>
    </row>
    <row r="22" spans="1:9" ht="20" customHeight="1">
      <c r="A22" s="135" t="s">
        <v>293</v>
      </c>
      <c r="B22" s="122"/>
      <c r="C22" s="122"/>
      <c r="D22" s="123">
        <v>0</v>
      </c>
      <c r="E22" s="136">
        <v>0</v>
      </c>
    </row>
    <row r="23" spans="1:9" s="86" customFormat="1" ht="20" customHeight="1" thickBot="1">
      <c r="A23" s="126" t="s">
        <v>294</v>
      </c>
      <c r="B23" s="127"/>
      <c r="C23" s="127"/>
      <c r="D23" s="137">
        <f>D19-D20</f>
        <v>-33900</v>
      </c>
      <c r="E23" s="138">
        <f>E19-E20</f>
        <v>-177096</v>
      </c>
    </row>
    <row r="24" spans="1:9" ht="14" thickTop="1"/>
  </sheetData>
  <mergeCells count="3">
    <mergeCell ref="A1:E1"/>
    <mergeCell ref="A3:E3"/>
    <mergeCell ref="A4:E4"/>
  </mergeCells>
  <pageMargins left="0.7" right="0.7" top="0.75" bottom="0.75" header="0.3" footer="0.3"/>
  <pageSetup paperSize="9" scale="9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I20"/>
  <sheetViews>
    <sheetView showGridLines="0" view="pageBreakPreview" topLeftCell="A8" zoomScale="110" zoomScaleNormal="140" zoomScaleSheetLayoutView="110" workbookViewId="0">
      <selection activeCell="C37" sqref="C37"/>
    </sheetView>
  </sheetViews>
  <sheetFormatPr defaultColWidth="8.6328125" defaultRowHeight="13.5"/>
  <cols>
    <col min="1" max="1" width="44.453125" style="83" customWidth="1"/>
    <col min="2" max="2" width="8.453125" style="83" customWidth="1"/>
    <col min="3" max="3" width="21.453125" style="83" customWidth="1"/>
    <col min="4" max="4" width="17.6328125" style="83" customWidth="1"/>
    <col min="5" max="5" width="20.453125" style="83" customWidth="1"/>
    <col min="6" max="6" width="14.81640625" style="83" customWidth="1"/>
    <col min="7" max="7" width="17.36328125" style="83" customWidth="1"/>
    <col min="8" max="8" width="11.81640625" style="83" bestFit="1" customWidth="1"/>
    <col min="9" max="16384" width="8.6328125" style="83"/>
  </cols>
  <sheetData>
    <row r="1" spans="1:9" ht="17.5">
      <c r="A1" s="322" t="str">
        <f>'SOI 10.18'!A1</f>
        <v>Magic Arun Hydropower Private Limitd</v>
      </c>
      <c r="B1" s="322"/>
      <c r="C1" s="322"/>
      <c r="D1" s="322"/>
      <c r="E1" s="322"/>
      <c r="F1" s="322"/>
      <c r="G1" s="322"/>
    </row>
    <row r="2" spans="1:9">
      <c r="A2" s="324"/>
      <c r="B2" s="324"/>
      <c r="C2" s="324"/>
      <c r="D2" s="324"/>
      <c r="E2" s="324"/>
      <c r="F2" s="324"/>
      <c r="G2" s="324"/>
    </row>
    <row r="3" spans="1:9" ht="14">
      <c r="A3" s="323" t="s">
        <v>295</v>
      </c>
      <c r="B3" s="323"/>
      <c r="C3" s="323"/>
      <c r="D3" s="323"/>
      <c r="E3" s="323"/>
      <c r="F3" s="323"/>
      <c r="G3" s="323"/>
    </row>
    <row r="4" spans="1:9" ht="14">
      <c r="A4" s="323" t="str">
        <f>'SOI 10.18'!A4</f>
        <v xml:space="preserve">For the Year Ended 18 Magh 2082 </v>
      </c>
      <c r="B4" s="323"/>
      <c r="C4" s="323"/>
      <c r="D4" s="323"/>
      <c r="E4" s="323"/>
      <c r="F4" s="323"/>
      <c r="G4" s="323"/>
    </row>
    <row r="6" spans="1:9" ht="14">
      <c r="G6" s="139" t="s">
        <v>276</v>
      </c>
    </row>
    <row r="7" spans="1:9" s="142" customFormat="1" ht="20" customHeight="1" thickBot="1">
      <c r="A7" s="140" t="s">
        <v>1</v>
      </c>
      <c r="B7" s="141"/>
      <c r="C7" s="141" t="s">
        <v>114</v>
      </c>
      <c r="D7" s="141" t="s">
        <v>260</v>
      </c>
      <c r="E7" s="93" t="s">
        <v>261</v>
      </c>
      <c r="F7" s="141" t="s">
        <v>296</v>
      </c>
      <c r="G7" s="141" t="s">
        <v>109</v>
      </c>
    </row>
    <row r="8" spans="1:9" ht="20" customHeight="1">
      <c r="A8" s="143" t="s">
        <v>297</v>
      </c>
      <c r="B8" s="144"/>
      <c r="C8" s="145">
        <f>+'SOFP  10.18'!E25</f>
        <v>0</v>
      </c>
      <c r="D8" s="145">
        <v>7600000</v>
      </c>
      <c r="E8" s="145">
        <f>+'3.7 to 3.8 10.18'!E45</f>
        <v>-196480</v>
      </c>
      <c r="F8" s="145">
        <v>0</v>
      </c>
      <c r="G8" s="146">
        <f>SUM(C8:F8)</f>
        <v>7403520</v>
      </c>
    </row>
    <row r="9" spans="1:9" ht="20" customHeight="1">
      <c r="A9" s="147" t="s">
        <v>298</v>
      </c>
      <c r="B9" s="147"/>
      <c r="C9" s="148">
        <v>0</v>
      </c>
      <c r="D9" s="148">
        <v>0</v>
      </c>
      <c r="E9" s="148">
        <f>SUM([5]Reco!F5:F8)</f>
        <v>0</v>
      </c>
      <c r="F9" s="148">
        <v>0</v>
      </c>
      <c r="G9" s="149">
        <f>SUM(C9:F9)</f>
        <v>0</v>
      </c>
    </row>
    <row r="10" spans="1:9" ht="20" customHeight="1">
      <c r="A10" s="150" t="s">
        <v>299</v>
      </c>
      <c r="B10" s="147"/>
      <c r="C10" s="149">
        <f>SUM(C8:C9)</f>
        <v>0</v>
      </c>
      <c r="D10" s="149">
        <f t="shared" ref="D10:G10" si="0">SUM(D8:D9)</f>
        <v>7600000</v>
      </c>
      <c r="E10" s="149">
        <f t="shared" si="0"/>
        <v>-196480</v>
      </c>
      <c r="F10" s="149">
        <f t="shared" si="0"/>
        <v>0</v>
      </c>
      <c r="G10" s="149">
        <f t="shared" si="0"/>
        <v>7403520</v>
      </c>
      <c r="H10" s="83">
        <f>'SOFP  10.18'!E28</f>
        <v>-196480</v>
      </c>
      <c r="I10" s="100">
        <f>G10-H10</f>
        <v>7600000</v>
      </c>
    </row>
    <row r="11" spans="1:9" ht="20" customHeight="1">
      <c r="A11" s="88" t="s">
        <v>300</v>
      </c>
      <c r="B11" s="88"/>
      <c r="C11" s="98">
        <v>0</v>
      </c>
      <c r="D11" s="98">
        <v>0</v>
      </c>
      <c r="E11" s="151">
        <f>'SOI 10.18'!D23</f>
        <v>-177096</v>
      </c>
      <c r="F11" s="98">
        <v>0</v>
      </c>
      <c r="G11" s="152">
        <f>+SUM(C11:F11)</f>
        <v>-177096</v>
      </c>
    </row>
    <row r="12" spans="1:9" ht="20" customHeight="1">
      <c r="A12" s="88" t="s">
        <v>301</v>
      </c>
      <c r="B12" s="88"/>
      <c r="C12" s="151">
        <v>12600000</v>
      </c>
      <c r="D12" s="151">
        <v>-7600000</v>
      </c>
      <c r="E12" s="151">
        <v>0</v>
      </c>
      <c r="F12" s="151">
        <v>0</v>
      </c>
      <c r="G12" s="152">
        <f>+SUM(C12:F12)</f>
        <v>5000000</v>
      </c>
    </row>
    <row r="13" spans="1:9" ht="20" customHeight="1">
      <c r="A13" s="88" t="s">
        <v>302</v>
      </c>
      <c r="B13" s="88"/>
      <c r="C13" s="151">
        <v>0</v>
      </c>
      <c r="D13" s="151">
        <v>0</v>
      </c>
      <c r="E13" s="151">
        <v>0</v>
      </c>
      <c r="F13" s="151">
        <v>0</v>
      </c>
      <c r="G13" s="152">
        <f>+SUM(C13:F13)</f>
        <v>0</v>
      </c>
    </row>
    <row r="14" spans="1:9" ht="20" customHeight="1">
      <c r="A14" s="153" t="s">
        <v>303</v>
      </c>
      <c r="B14" s="153"/>
      <c r="C14" s="151">
        <v>0</v>
      </c>
      <c r="D14" s="151">
        <v>0</v>
      </c>
      <c r="E14" s="151">
        <v>0</v>
      </c>
      <c r="F14" s="151">
        <v>0</v>
      </c>
      <c r="G14" s="152">
        <f>+SUM(C14:F14)</f>
        <v>0</v>
      </c>
    </row>
    <row r="15" spans="1:9" s="86" customFormat="1" ht="20" customHeight="1">
      <c r="A15" s="150" t="s">
        <v>304</v>
      </c>
      <c r="B15" s="150"/>
      <c r="C15" s="149">
        <f>SUM(C10:C14)</f>
        <v>12600000</v>
      </c>
      <c r="D15" s="149">
        <f t="shared" ref="D15:G15" si="1">SUM(D10:D14)</f>
        <v>0</v>
      </c>
      <c r="E15" s="149">
        <f t="shared" si="1"/>
        <v>-373576</v>
      </c>
      <c r="F15" s="149">
        <f t="shared" si="1"/>
        <v>0</v>
      </c>
      <c r="G15" s="149">
        <f t="shared" si="1"/>
        <v>12226424</v>
      </c>
      <c r="H15" s="86">
        <f>'SOFP  10.18'!D28</f>
        <v>12226424</v>
      </c>
      <c r="I15" s="108">
        <f>G15-H15</f>
        <v>0</v>
      </c>
    </row>
    <row r="16" spans="1:9" ht="20" customHeight="1">
      <c r="A16" s="88" t="s">
        <v>300</v>
      </c>
      <c r="C16" s="154">
        <v>0</v>
      </c>
      <c r="D16" s="154">
        <v>0</v>
      </c>
      <c r="E16" s="154">
        <f>+'SOI 10.18'!C23</f>
        <v>-164485.25</v>
      </c>
      <c r="F16" s="154">
        <v>0</v>
      </c>
      <c r="G16" s="154">
        <f>+SUM(C16:F16)</f>
        <v>-164485.25</v>
      </c>
    </row>
    <row r="17" spans="1:9" ht="20" customHeight="1">
      <c r="A17" s="88" t="s">
        <v>301</v>
      </c>
      <c r="C17" s="154">
        <v>0</v>
      </c>
      <c r="D17" s="154">
        <v>0</v>
      </c>
      <c r="E17" s="154">
        <v>0</v>
      </c>
      <c r="F17" s="154">
        <v>0</v>
      </c>
      <c r="G17" s="154">
        <f t="shared" ref="G17:G19" si="2">+SUM(C17:F17)</f>
        <v>0</v>
      </c>
    </row>
    <row r="18" spans="1:9" ht="20" customHeight="1">
      <c r="A18" s="88" t="s">
        <v>302</v>
      </c>
      <c r="C18" s="154">
        <v>0</v>
      </c>
      <c r="D18" s="154">
        <v>0</v>
      </c>
      <c r="E18" s="154">
        <v>0</v>
      </c>
      <c r="F18" s="154">
        <v>0</v>
      </c>
      <c r="G18" s="154">
        <f t="shared" si="2"/>
        <v>0</v>
      </c>
    </row>
    <row r="19" spans="1:9" ht="20" customHeight="1">
      <c r="A19" s="153" t="s">
        <v>303</v>
      </c>
      <c r="B19" s="155"/>
      <c r="C19" s="156">
        <v>0</v>
      </c>
      <c r="D19" s="156">
        <v>0</v>
      </c>
      <c r="E19" s="156">
        <v>0</v>
      </c>
      <c r="F19" s="156">
        <v>0</v>
      </c>
      <c r="G19" s="154">
        <f t="shared" si="2"/>
        <v>0</v>
      </c>
    </row>
    <row r="20" spans="1:9" s="86" customFormat="1" ht="20" customHeight="1">
      <c r="A20" s="150" t="s">
        <v>305</v>
      </c>
      <c r="B20" s="157"/>
      <c r="C20" s="158">
        <f>SUM(C15:C19)</f>
        <v>12600000</v>
      </c>
      <c r="D20" s="158">
        <f>SUM(D15:D19)</f>
        <v>0</v>
      </c>
      <c r="E20" s="158">
        <f>SUM(E15:E19)</f>
        <v>-538061.25</v>
      </c>
      <c r="F20" s="158">
        <f>SUM(F15:F19)</f>
        <v>0</v>
      </c>
      <c r="G20" s="158">
        <f>SUM(G15:G19)</f>
        <v>12061938.75</v>
      </c>
      <c r="H20" s="86">
        <f>'SOFP  10.18'!C28</f>
        <v>32251938.75</v>
      </c>
      <c r="I20" s="108">
        <f>G20-H20</f>
        <v>-20190000</v>
      </c>
    </row>
  </sheetData>
  <mergeCells count="4">
    <mergeCell ref="A1:G1"/>
    <mergeCell ref="A2:G2"/>
    <mergeCell ref="A3:G3"/>
    <mergeCell ref="A4:G4"/>
  </mergeCells>
  <pageMargins left="0.7" right="0.7" top="0.75" bottom="0.75" header="0.3" footer="0.3"/>
  <pageSetup paperSize="9" scale="9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D41"/>
  <sheetViews>
    <sheetView showGridLines="0" view="pageBreakPreview" topLeftCell="A23" zoomScaleNormal="130" zoomScaleSheetLayoutView="100" workbookViewId="0">
      <selection activeCell="D37" sqref="D37"/>
    </sheetView>
  </sheetViews>
  <sheetFormatPr defaultColWidth="8.6328125" defaultRowHeight="14"/>
  <cols>
    <col min="1" max="1" width="63.453125" style="83" customWidth="1"/>
    <col min="2" max="2" width="22.453125" style="176" customWidth="1"/>
    <col min="3" max="3" width="19.453125" style="177" customWidth="1"/>
    <col min="4" max="16384" width="8.6328125" style="83"/>
  </cols>
  <sheetData>
    <row r="1" spans="1:4" ht="17.5">
      <c r="A1" s="322" t="str">
        <f>'SOCE 10.18'!A1</f>
        <v>Magic Arun Hydropower Private Limitd</v>
      </c>
      <c r="B1" s="322"/>
      <c r="C1" s="322"/>
    </row>
    <row r="2" spans="1:4" ht="13.5">
      <c r="A2" s="324"/>
      <c r="B2" s="324"/>
      <c r="C2" s="324"/>
    </row>
    <row r="3" spans="1:4">
      <c r="A3" s="323" t="s">
        <v>306</v>
      </c>
      <c r="B3" s="323"/>
      <c r="C3" s="323"/>
    </row>
    <row r="4" spans="1:4">
      <c r="A4" s="323" t="str">
        <f>'SOCE 10.18'!A4</f>
        <v xml:space="preserve">For the Year Ended 18 Magh 2082 </v>
      </c>
      <c r="B4" s="323"/>
      <c r="C4" s="323"/>
    </row>
    <row r="5" spans="1:4" ht="13.5">
      <c r="A5" s="88"/>
      <c r="B5" s="159"/>
      <c r="C5" s="160" t="s">
        <v>276</v>
      </c>
    </row>
    <row r="6" spans="1:4" ht="20" customHeight="1" thickBot="1">
      <c r="A6" s="92" t="s">
        <v>1</v>
      </c>
      <c r="B6" s="161" t="str">
        <f>'SOI 10.18'!C7</f>
        <v>Upto 18 Magh 2082</v>
      </c>
      <c r="C6" s="162" t="str">
        <f>'SOI 10.18'!D7</f>
        <v>FY 2081-82</v>
      </c>
    </row>
    <row r="7" spans="1:4" s="86" customFormat="1" ht="20" customHeight="1">
      <c r="A7" s="95" t="s">
        <v>307</v>
      </c>
      <c r="B7" s="163"/>
      <c r="C7" s="164"/>
    </row>
    <row r="8" spans="1:4" s="86" customFormat="1" ht="20" customHeight="1">
      <c r="A8" s="95" t="s">
        <v>300</v>
      </c>
      <c r="B8" s="165">
        <f>'SOI 10.18'!C19</f>
        <v>-164485.25</v>
      </c>
      <c r="C8" s="166">
        <f>'SOI 10.18'!D19</f>
        <v>-177096</v>
      </c>
      <c r="D8" s="86">
        <f>B8-'SOFP  10.18'!J27</f>
        <v>-164485.25</v>
      </c>
    </row>
    <row r="9" spans="1:4" ht="20" customHeight="1">
      <c r="A9" s="88" t="s">
        <v>308</v>
      </c>
      <c r="B9" s="163"/>
      <c r="C9" s="164"/>
    </row>
    <row r="10" spans="1:4" ht="20" customHeight="1">
      <c r="A10" s="167" t="s">
        <v>309</v>
      </c>
      <c r="B10" s="168">
        <f>'SOI 10.18'!C17</f>
        <v>130585.25</v>
      </c>
      <c r="C10" s="169">
        <f>'SOI 10.18'!D17</f>
        <v>147714</v>
      </c>
    </row>
    <row r="11" spans="1:4" ht="20" customHeight="1">
      <c r="A11" s="167" t="s">
        <v>279</v>
      </c>
      <c r="B11" s="168"/>
      <c r="C11" s="169"/>
    </row>
    <row r="12" spans="1:4" ht="20" customHeight="1">
      <c r="A12" s="167" t="s">
        <v>310</v>
      </c>
      <c r="B12" s="168">
        <f>'SOI 10.18'!C16</f>
        <v>0</v>
      </c>
      <c r="C12" s="169">
        <f>'SOI 10.18'!D16</f>
        <v>0</v>
      </c>
    </row>
    <row r="13" spans="1:4" ht="20" customHeight="1">
      <c r="A13" s="167" t="s">
        <v>311</v>
      </c>
      <c r="B13" s="168"/>
      <c r="C13" s="169"/>
    </row>
    <row r="14" spans="1:4" ht="20" customHeight="1">
      <c r="A14" s="167" t="s">
        <v>312</v>
      </c>
      <c r="B14" s="168"/>
      <c r="C14" s="169"/>
    </row>
    <row r="15" spans="1:4" ht="20" customHeight="1">
      <c r="A15" s="170" t="s">
        <v>313</v>
      </c>
      <c r="B15" s="168"/>
      <c r="C15" s="169"/>
    </row>
    <row r="16" spans="1:4" ht="20" customHeight="1">
      <c r="A16" s="167" t="s">
        <v>314</v>
      </c>
      <c r="B16" s="168">
        <f>'SOFP  10.18'!J17+'SOFP  10.18'!J20</f>
        <v>0</v>
      </c>
      <c r="C16" s="169">
        <f>'SOFP  10.18'!E17-'SOFP  10.18'!D17</f>
        <v>6476737</v>
      </c>
    </row>
    <row r="17" spans="1:3" ht="20" customHeight="1">
      <c r="A17" s="167" t="s">
        <v>315</v>
      </c>
      <c r="B17" s="168">
        <f>'SOFP  10.18'!J18</f>
        <v>0</v>
      </c>
      <c r="C17" s="169">
        <f>'SOFP  10.18'!K18</f>
        <v>0</v>
      </c>
    </row>
    <row r="18" spans="1:3" ht="20" customHeight="1">
      <c r="A18" s="167" t="s">
        <v>316</v>
      </c>
      <c r="B18" s="168">
        <f>'SOFP  10.18'!J37</f>
        <v>0</v>
      </c>
      <c r="C18" s="169">
        <f>'SOFP  10.18'!K37</f>
        <v>0</v>
      </c>
    </row>
    <row r="19" spans="1:3" ht="20" customHeight="1">
      <c r="A19" s="167" t="s">
        <v>317</v>
      </c>
      <c r="B19" s="168"/>
      <c r="C19" s="169">
        <f>'SOFP  10.18'!D31-'SOFP  10.18'!E31</f>
        <v>-3591010</v>
      </c>
    </row>
    <row r="20" spans="1:3" ht="20" customHeight="1">
      <c r="A20" s="167" t="s">
        <v>318</v>
      </c>
      <c r="B20" s="103"/>
      <c r="C20" s="171">
        <v>0</v>
      </c>
    </row>
    <row r="21" spans="1:3" s="86" customFormat="1" ht="20" customHeight="1">
      <c r="A21" s="95" t="s">
        <v>319</v>
      </c>
      <c r="B21" s="149">
        <f>SUM(B8:B20)</f>
        <v>-33900</v>
      </c>
      <c r="C21" s="172">
        <f>SUM(C8:C20)</f>
        <v>2856345</v>
      </c>
    </row>
    <row r="22" spans="1:3" ht="20" customHeight="1">
      <c r="A22" s="167" t="s">
        <v>320</v>
      </c>
      <c r="B22" s="163"/>
      <c r="C22" s="169">
        <v>0</v>
      </c>
    </row>
    <row r="23" spans="1:3" ht="20" customHeight="1">
      <c r="A23" s="167" t="s">
        <v>321</v>
      </c>
      <c r="B23" s="101"/>
      <c r="C23" s="171">
        <v>0</v>
      </c>
    </row>
    <row r="24" spans="1:3" s="86" customFormat="1" ht="20" customHeight="1">
      <c r="A24" s="95" t="s">
        <v>322</v>
      </c>
      <c r="B24" s="149">
        <f>SUM(B21:B23)</f>
        <v>-33900</v>
      </c>
      <c r="C24" s="172">
        <f>SUM(C21:C23)</f>
        <v>2856345</v>
      </c>
    </row>
    <row r="25" spans="1:3" s="86" customFormat="1" ht="20" customHeight="1">
      <c r="A25" s="95" t="s">
        <v>323</v>
      </c>
      <c r="B25" s="163"/>
      <c r="C25" s="164"/>
    </row>
    <row r="26" spans="1:3" ht="20" customHeight="1">
      <c r="A26" s="167" t="s">
        <v>324</v>
      </c>
      <c r="B26" s="168"/>
      <c r="C26" s="169">
        <f>-'3.1 10.18'!I8</f>
        <v>0</v>
      </c>
    </row>
    <row r="27" spans="1:3" ht="20" customHeight="1">
      <c r="A27" s="167" t="s">
        <v>325</v>
      </c>
      <c r="B27" s="168">
        <f>'SOFP  10.18'!J12</f>
        <v>0</v>
      </c>
      <c r="C27" s="169">
        <f>-'SOFP  10.18'!D10+'SOFP  10.18'!E10</f>
        <v>0</v>
      </c>
    </row>
    <row r="28" spans="1:3" ht="20" customHeight="1">
      <c r="A28" s="167" t="s">
        <v>326</v>
      </c>
      <c r="B28" s="101">
        <f>-'3.1 10.18'!I15-'[5]3.2'!E17</f>
        <v>0</v>
      </c>
      <c r="C28" s="171">
        <f>-'3.1 10.18'!I10-'[5]3.2'!E12</f>
        <v>-752188</v>
      </c>
    </row>
    <row r="29" spans="1:3" s="86" customFormat="1" ht="20" customHeight="1">
      <c r="A29" s="95" t="s">
        <v>327</v>
      </c>
      <c r="B29" s="149">
        <f>SUM(B25:B28)</f>
        <v>0</v>
      </c>
      <c r="C29" s="172">
        <f>SUM(C25:C28)</f>
        <v>-752188</v>
      </c>
    </row>
    <row r="30" spans="1:3" s="86" customFormat="1" ht="20" customHeight="1">
      <c r="A30" s="95" t="s">
        <v>328</v>
      </c>
      <c r="B30" s="163"/>
      <c r="C30" s="164"/>
    </row>
    <row r="31" spans="1:3" ht="20" customHeight="1">
      <c r="A31" s="167" t="s">
        <v>329</v>
      </c>
      <c r="B31" s="168"/>
      <c r="C31" s="169">
        <f>'SOFP  10.18'!D25-'SOFP  10.18'!E26</f>
        <v>12600000</v>
      </c>
    </row>
    <row r="32" spans="1:3" ht="20" customHeight="1">
      <c r="A32" s="167" t="s">
        <v>330</v>
      </c>
      <c r="B32" s="168">
        <f>'SOFP  10.18'!J36</f>
        <v>0</v>
      </c>
      <c r="C32" s="169">
        <f>'SOFP  10.18'!K36</f>
        <v>0</v>
      </c>
    </row>
    <row r="33" spans="1:3" ht="20" customHeight="1">
      <c r="A33" s="167" t="s">
        <v>286</v>
      </c>
      <c r="B33" s="168">
        <f>-B12</f>
        <v>0</v>
      </c>
      <c r="C33" s="169">
        <f>-C12</f>
        <v>0</v>
      </c>
    </row>
    <row r="34" spans="1:3" ht="20" customHeight="1">
      <c r="A34" s="167" t="s">
        <v>331</v>
      </c>
      <c r="B34" s="101"/>
      <c r="C34" s="171"/>
    </row>
    <row r="35" spans="1:3" s="86" customFormat="1" ht="20" customHeight="1">
      <c r="A35" s="95" t="s">
        <v>332</v>
      </c>
      <c r="B35" s="149">
        <f>SUM(B31:B34)</f>
        <v>0</v>
      </c>
      <c r="C35" s="172">
        <f>SUM(C31:C34)</f>
        <v>12600000</v>
      </c>
    </row>
    <row r="36" spans="1:3" s="86" customFormat="1" ht="20" customHeight="1">
      <c r="A36" s="95" t="s">
        <v>333</v>
      </c>
      <c r="B36" s="165">
        <f>B24+B29+B35</f>
        <v>-33900</v>
      </c>
      <c r="C36" s="166">
        <f>C24+C29+C35</f>
        <v>14704157</v>
      </c>
    </row>
    <row r="37" spans="1:3" s="86" customFormat="1" ht="20" customHeight="1">
      <c r="A37" s="173" t="s">
        <v>334</v>
      </c>
      <c r="B37" s="165">
        <f>'SOFP  10.18'!D19</f>
        <v>891197</v>
      </c>
      <c r="C37" s="166">
        <f>'SOFP  10.18'!E19</f>
        <v>67329</v>
      </c>
    </row>
    <row r="38" spans="1:3" s="86" customFormat="1" ht="20" customHeight="1">
      <c r="A38" s="167" t="s">
        <v>335</v>
      </c>
      <c r="B38" s="165"/>
      <c r="C38" s="166"/>
    </row>
    <row r="39" spans="1:3" s="86" customFormat="1" ht="20" customHeight="1" thickBot="1">
      <c r="A39" s="95" t="s">
        <v>336</v>
      </c>
      <c r="B39" s="174">
        <f>B36+B37</f>
        <v>857297</v>
      </c>
      <c r="C39" s="175">
        <f>C36+C37</f>
        <v>14771486</v>
      </c>
    </row>
    <row r="40" spans="1:3" ht="14.5" thickTop="1">
      <c r="B40" s="176">
        <f>'3.4 to 3.6 ao 10.18'!C58</f>
        <v>12637.349999999977</v>
      </c>
      <c r="C40" s="177">
        <f>'3.4 to 3.6 ao 10.18'!D58</f>
        <v>891197</v>
      </c>
    </row>
    <row r="41" spans="1:3">
      <c r="B41" s="176">
        <f>B39-B40</f>
        <v>844659.65</v>
      </c>
      <c r="C41" s="177">
        <f>C39-C40</f>
        <v>13880289</v>
      </c>
    </row>
  </sheetData>
  <mergeCells count="4">
    <mergeCell ref="A1:C1"/>
    <mergeCell ref="A2:C2"/>
    <mergeCell ref="A3:C3"/>
    <mergeCell ref="A4:C4"/>
  </mergeCells>
  <pageMargins left="0.7" right="0.7" top="0.75" bottom="0.75" header="0.3" footer="0.3"/>
  <pageSetup paperSize="9" scale="82" orientation="portrait"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I77"/>
  <sheetViews>
    <sheetView showGridLines="0" view="pageBreakPreview" topLeftCell="A28" zoomScale="84" zoomScaleNormal="120" zoomScaleSheetLayoutView="100" workbookViewId="0">
      <selection activeCell="I52" sqref="I52"/>
    </sheetView>
  </sheetViews>
  <sheetFormatPr defaultColWidth="8.6328125" defaultRowHeight="12.5"/>
  <cols>
    <col min="1" max="1" width="5.6328125" style="88" customWidth="1"/>
    <col min="2" max="2" width="33.36328125" style="88" customWidth="1"/>
    <col min="3" max="3" width="17.7265625" style="88" bestFit="1" customWidth="1"/>
    <col min="4" max="4" width="13.6328125" style="88" bestFit="1" customWidth="1"/>
    <col min="5" max="5" width="15.36328125" style="88" customWidth="1"/>
    <col min="6" max="6" width="15.90625" style="88" customWidth="1"/>
    <col min="7" max="8" width="13.6328125" style="88" customWidth="1"/>
    <col min="9" max="9" width="14.6328125" style="88" customWidth="1"/>
    <col min="10" max="16384" width="8.6328125" style="88"/>
  </cols>
  <sheetData>
    <row r="1" spans="1:9" ht="17.5">
      <c r="A1" s="322" t="str">
        <f>'SOFP  10.18'!A1</f>
        <v>Magic Arun Hydropower Private Limitd</v>
      </c>
      <c r="B1" s="322"/>
      <c r="C1" s="322"/>
      <c r="D1" s="322"/>
      <c r="E1" s="322"/>
      <c r="F1" s="322"/>
      <c r="G1" s="322"/>
      <c r="H1" s="322"/>
      <c r="I1" s="322"/>
    </row>
    <row r="2" spans="1:9" ht="14">
      <c r="A2" s="323" t="s">
        <v>337</v>
      </c>
      <c r="B2" s="323"/>
      <c r="C2" s="323"/>
      <c r="D2" s="323"/>
      <c r="E2" s="323"/>
      <c r="F2" s="323"/>
      <c r="G2" s="323"/>
      <c r="H2" s="323"/>
      <c r="I2" s="323"/>
    </row>
    <row r="3" spans="1:9" ht="13" thickBot="1">
      <c r="A3" s="189"/>
      <c r="B3" s="189"/>
      <c r="C3" s="189"/>
      <c r="D3" s="189"/>
      <c r="E3" s="189"/>
      <c r="F3" s="189"/>
      <c r="G3" s="189"/>
      <c r="H3" s="189"/>
      <c r="I3" s="190" t="s">
        <v>276</v>
      </c>
    </row>
    <row r="4" spans="1:9">
      <c r="A4" s="173">
        <v>3.1</v>
      </c>
      <c r="B4" s="95" t="s">
        <v>245</v>
      </c>
    </row>
    <row r="5" spans="1:9" s="191" customFormat="1" ht="25">
      <c r="B5" s="192"/>
      <c r="C5" s="193" t="s">
        <v>151</v>
      </c>
      <c r="D5" s="193" t="s">
        <v>409</v>
      </c>
      <c r="E5" s="193" t="s">
        <v>410</v>
      </c>
      <c r="F5" s="193" t="s">
        <v>152</v>
      </c>
      <c r="G5" s="193" t="s">
        <v>411</v>
      </c>
      <c r="H5" s="193" t="s">
        <v>568</v>
      </c>
      <c r="I5" s="193" t="s">
        <v>109</v>
      </c>
    </row>
    <row r="6" spans="1:9" s="191" customFormat="1">
      <c r="B6" s="194" t="s">
        <v>412</v>
      </c>
      <c r="C6" s="192"/>
      <c r="D6" s="192"/>
      <c r="E6" s="192"/>
      <c r="F6" s="192"/>
      <c r="G6" s="192"/>
      <c r="H6" s="192"/>
      <c r="I6" s="192"/>
    </row>
    <row r="7" spans="1:9" s="191" customFormat="1">
      <c r="B7" s="192"/>
      <c r="C7" s="192"/>
      <c r="D7" s="192"/>
      <c r="E7" s="192"/>
      <c r="F7" s="192"/>
      <c r="G7" s="192"/>
      <c r="H7" s="192"/>
      <c r="I7" s="192"/>
    </row>
    <row r="8" spans="1:9">
      <c r="B8" s="95" t="s">
        <v>297</v>
      </c>
      <c r="C8" s="98">
        <v>0</v>
      </c>
      <c r="D8" s="98">
        <v>0</v>
      </c>
      <c r="E8" s="98">
        <v>0</v>
      </c>
      <c r="F8" s="98">
        <v>0</v>
      </c>
      <c r="G8" s="98">
        <v>0</v>
      </c>
      <c r="H8" s="98"/>
      <c r="I8" s="104">
        <f>SUM(C8:G8)</f>
        <v>0</v>
      </c>
    </row>
    <row r="9" spans="1:9">
      <c r="C9" s="98"/>
      <c r="D9" s="98"/>
      <c r="E9" s="98"/>
      <c r="F9" s="98"/>
      <c r="G9" s="98"/>
      <c r="H9" s="98"/>
      <c r="I9" s="104">
        <f>SUM(C9:G9)</f>
        <v>0</v>
      </c>
    </row>
    <row r="10" spans="1:9">
      <c r="B10" s="88" t="s">
        <v>413</v>
      </c>
      <c r="C10" s="98">
        <v>532188</v>
      </c>
      <c r="D10" s="98">
        <v>0</v>
      </c>
      <c r="E10" s="98">
        <v>0</v>
      </c>
      <c r="F10" s="98">
        <v>220000</v>
      </c>
      <c r="G10" s="98">
        <v>0</v>
      </c>
      <c r="H10" s="98"/>
      <c r="I10" s="104">
        <f>SUM(C10:G10)</f>
        <v>752188</v>
      </c>
    </row>
    <row r="11" spans="1:9">
      <c r="B11" s="88" t="s">
        <v>414</v>
      </c>
      <c r="C11" s="101">
        <v>0</v>
      </c>
      <c r="D11" s="101">
        <v>0</v>
      </c>
      <c r="E11" s="101">
        <v>0</v>
      </c>
      <c r="F11" s="101">
        <v>0</v>
      </c>
      <c r="G11" s="101">
        <v>0</v>
      </c>
      <c r="H11" s="101"/>
      <c r="I11" s="103">
        <f>SUM(C11:G11)</f>
        <v>0</v>
      </c>
    </row>
    <row r="12" spans="1:9">
      <c r="C12" s="98"/>
      <c r="D12" s="98"/>
      <c r="E12" s="98"/>
      <c r="F12" s="98"/>
      <c r="G12" s="98"/>
      <c r="H12" s="98"/>
      <c r="I12" s="104"/>
    </row>
    <row r="13" spans="1:9" ht="13" thickBot="1">
      <c r="B13" s="95" t="s">
        <v>415</v>
      </c>
      <c r="C13" s="195">
        <f>SUM(C8:C11)</f>
        <v>532188</v>
      </c>
      <c r="D13" s="195">
        <f t="shared" ref="D13:I13" si="0">SUM(D8:D11)</f>
        <v>0</v>
      </c>
      <c r="E13" s="195">
        <f t="shared" si="0"/>
        <v>0</v>
      </c>
      <c r="F13" s="195">
        <f t="shared" si="0"/>
        <v>220000</v>
      </c>
      <c r="G13" s="195">
        <f t="shared" si="0"/>
        <v>0</v>
      </c>
      <c r="H13" s="195"/>
      <c r="I13" s="195">
        <f t="shared" si="0"/>
        <v>752188</v>
      </c>
    </row>
    <row r="14" spans="1:9" ht="13" thickTop="1">
      <c r="B14" s="95"/>
      <c r="C14" s="98"/>
      <c r="D14" s="98"/>
      <c r="E14" s="98"/>
      <c r="F14" s="98"/>
      <c r="G14" s="98"/>
      <c r="H14" s="98"/>
      <c r="I14" s="104"/>
    </row>
    <row r="15" spans="1:9">
      <c r="B15" s="88" t="s">
        <v>413</v>
      </c>
      <c r="C15" s="98">
        <v>0</v>
      </c>
      <c r="D15" s="98"/>
      <c r="E15" s="98">
        <v>0</v>
      </c>
      <c r="F15" s="98"/>
      <c r="G15" s="98">
        <v>0</v>
      </c>
      <c r="H15" s="98"/>
      <c r="I15" s="104">
        <f>SUM(C15:G15)</f>
        <v>0</v>
      </c>
    </row>
    <row r="16" spans="1:9">
      <c r="B16" s="88" t="s">
        <v>414</v>
      </c>
      <c r="C16" s="101">
        <v>0</v>
      </c>
      <c r="D16" s="101">
        <v>0</v>
      </c>
      <c r="E16" s="101">
        <v>0</v>
      </c>
      <c r="F16" s="101">
        <v>0</v>
      </c>
      <c r="G16" s="101">
        <v>0</v>
      </c>
      <c r="H16" s="101"/>
      <c r="I16" s="103">
        <f>SUM(C16:G16)</f>
        <v>0</v>
      </c>
    </row>
    <row r="17" spans="2:9">
      <c r="C17" s="98"/>
      <c r="D17" s="98"/>
      <c r="E17" s="98"/>
      <c r="F17" s="98"/>
      <c r="G17" s="98"/>
      <c r="H17" s="98"/>
      <c r="I17" s="104"/>
    </row>
    <row r="18" spans="2:9" ht="13" thickBot="1">
      <c r="B18" s="95" t="s">
        <v>593</v>
      </c>
      <c r="C18" s="195">
        <f>SUM(C13:C16)</f>
        <v>532188</v>
      </c>
      <c r="D18" s="195">
        <f t="shared" ref="D18:H18" si="1">SUM(D13:D16)</f>
        <v>0</v>
      </c>
      <c r="E18" s="195">
        <f t="shared" si="1"/>
        <v>0</v>
      </c>
      <c r="F18" s="195">
        <f t="shared" si="1"/>
        <v>220000</v>
      </c>
      <c r="G18" s="195">
        <f t="shared" si="1"/>
        <v>0</v>
      </c>
      <c r="H18" s="195">
        <f t="shared" si="1"/>
        <v>0</v>
      </c>
      <c r="I18" s="195">
        <f>SUM(C18:G18)</f>
        <v>752188</v>
      </c>
    </row>
    <row r="19" spans="2:9" ht="13" thickTop="1">
      <c r="B19" s="95"/>
      <c r="C19" s="89"/>
      <c r="D19" s="89"/>
      <c r="E19" s="89"/>
      <c r="F19" s="89"/>
      <c r="G19" s="89"/>
      <c r="H19" s="89"/>
      <c r="I19" s="96"/>
    </row>
    <row r="20" spans="2:9">
      <c r="B20" s="88" t="s">
        <v>413</v>
      </c>
      <c r="C20" s="89"/>
      <c r="D20" s="89"/>
      <c r="E20" s="89"/>
      <c r="F20" s="89"/>
      <c r="G20" s="89"/>
      <c r="H20" s="89"/>
      <c r="I20" s="96"/>
    </row>
    <row r="21" spans="2:9">
      <c r="B21" s="88" t="s">
        <v>414</v>
      </c>
      <c r="C21" s="101"/>
      <c r="D21" s="101"/>
      <c r="E21" s="101"/>
      <c r="F21" s="101"/>
      <c r="G21" s="101"/>
      <c r="H21" s="101"/>
      <c r="I21" s="103"/>
    </row>
    <row r="22" spans="2:9">
      <c r="C22" s="98"/>
      <c r="D22" s="98"/>
      <c r="E22" s="98"/>
      <c r="F22" s="98"/>
      <c r="G22" s="98"/>
      <c r="H22" s="98"/>
      <c r="I22" s="104"/>
    </row>
    <row r="23" spans="2:9" ht="13" thickBot="1">
      <c r="B23" s="95" t="s">
        <v>608</v>
      </c>
      <c r="C23" s="195">
        <f t="shared" ref="C23:I23" si="2">SUM(C18:C21)</f>
        <v>532188</v>
      </c>
      <c r="D23" s="195">
        <f t="shared" si="2"/>
        <v>0</v>
      </c>
      <c r="E23" s="195">
        <f t="shared" si="2"/>
        <v>0</v>
      </c>
      <c r="F23" s="195">
        <f t="shared" si="2"/>
        <v>220000</v>
      </c>
      <c r="G23" s="195">
        <f t="shared" si="2"/>
        <v>0</v>
      </c>
      <c r="H23" s="195">
        <f t="shared" si="2"/>
        <v>0</v>
      </c>
      <c r="I23" s="195">
        <f t="shared" si="2"/>
        <v>752188</v>
      </c>
    </row>
    <row r="24" spans="2:9" ht="13" thickTop="1">
      <c r="C24" s="89"/>
      <c r="D24" s="89"/>
      <c r="E24" s="89"/>
      <c r="F24" s="89"/>
      <c r="G24" s="89"/>
      <c r="H24" s="89"/>
      <c r="I24" s="96"/>
    </row>
    <row r="25" spans="2:9" s="95" customFormat="1">
      <c r="B25" s="196" t="s">
        <v>416</v>
      </c>
      <c r="C25" s="96"/>
      <c r="D25" s="96"/>
      <c r="E25" s="96"/>
      <c r="F25" s="96"/>
      <c r="G25" s="96"/>
      <c r="H25" s="96"/>
      <c r="I25" s="96"/>
    </row>
    <row r="26" spans="2:9" s="95" customFormat="1">
      <c r="C26" s="96"/>
      <c r="D26" s="96"/>
      <c r="E26" s="96"/>
      <c r="F26" s="96"/>
      <c r="G26" s="96"/>
      <c r="H26" s="96"/>
      <c r="I26" s="96"/>
    </row>
    <row r="27" spans="2:9" s="95" customFormat="1">
      <c r="B27" s="95" t="str">
        <f>B8</f>
        <v>Balance at 1 Shrawan 2081</v>
      </c>
      <c r="C27" s="197">
        <v>0</v>
      </c>
      <c r="D27" s="197">
        <v>0</v>
      </c>
      <c r="E27" s="197">
        <v>0</v>
      </c>
      <c r="F27" s="197">
        <v>0</v>
      </c>
      <c r="G27" s="197">
        <v>0</v>
      </c>
      <c r="H27" s="197"/>
      <c r="I27" s="198">
        <f>SUM(C27:G27)</f>
        <v>0</v>
      </c>
    </row>
    <row r="28" spans="2:9" s="95" customFormat="1">
      <c r="B28" s="88"/>
      <c r="C28" s="89"/>
      <c r="D28" s="89"/>
      <c r="E28" s="89"/>
      <c r="F28" s="89"/>
      <c r="G28" s="89"/>
      <c r="H28" s="89"/>
      <c r="I28" s="96"/>
    </row>
    <row r="29" spans="2:9" s="95" customFormat="1">
      <c r="B29" s="88" t="s">
        <v>417</v>
      </c>
      <c r="C29" s="98">
        <v>133047</v>
      </c>
      <c r="D29" s="98">
        <v>0</v>
      </c>
      <c r="E29" s="98">
        <v>0</v>
      </c>
      <c r="F29" s="98">
        <v>14667</v>
      </c>
      <c r="G29" s="98">
        <v>0</v>
      </c>
      <c r="H29" s="98">
        <v>0</v>
      </c>
      <c r="I29" s="199">
        <f>SUM(C29:H29)</f>
        <v>147714</v>
      </c>
    </row>
    <row r="30" spans="2:9" s="95" customFormat="1">
      <c r="B30" s="88" t="s">
        <v>414</v>
      </c>
      <c r="C30" s="200"/>
      <c r="D30" s="200"/>
      <c r="E30" s="200"/>
      <c r="F30" s="200"/>
      <c r="G30" s="200"/>
      <c r="H30" s="200"/>
      <c r="I30" s="201"/>
    </row>
    <row r="31" spans="2:9" s="95" customFormat="1">
      <c r="B31" s="88"/>
      <c r="C31" s="89"/>
      <c r="D31" s="89"/>
      <c r="E31" s="89"/>
      <c r="F31" s="89"/>
      <c r="G31" s="89"/>
      <c r="H31" s="89"/>
      <c r="I31" s="96"/>
    </row>
    <row r="32" spans="2:9" s="95" customFormat="1" ht="13" thickBot="1">
      <c r="B32" s="95" t="str">
        <f>B13</f>
        <v>Balance at 32 Ashadh 2082</v>
      </c>
      <c r="C32" s="202">
        <f>SUM(C27:C30)</f>
        <v>133047</v>
      </c>
      <c r="D32" s="202">
        <f t="shared" ref="D32:I32" si="3">SUM(D27:D30)</f>
        <v>0</v>
      </c>
      <c r="E32" s="202">
        <f t="shared" si="3"/>
        <v>0</v>
      </c>
      <c r="F32" s="202">
        <f t="shared" si="3"/>
        <v>14667</v>
      </c>
      <c r="G32" s="202">
        <f t="shared" si="3"/>
        <v>0</v>
      </c>
      <c r="H32" s="202">
        <f t="shared" si="3"/>
        <v>0</v>
      </c>
      <c r="I32" s="202">
        <f t="shared" si="3"/>
        <v>147714</v>
      </c>
    </row>
    <row r="33" spans="2:9" s="95" customFormat="1" ht="13" thickTop="1">
      <c r="C33" s="89"/>
      <c r="D33" s="89"/>
      <c r="E33" s="89"/>
      <c r="F33" s="89"/>
      <c r="G33" s="89"/>
      <c r="H33" s="89"/>
      <c r="I33" s="96"/>
    </row>
    <row r="34" spans="2:9" s="95" customFormat="1">
      <c r="B34" s="88" t="s">
        <v>417</v>
      </c>
      <c r="C34" s="98">
        <f>(C13-C29)*25%</f>
        <v>99785.25</v>
      </c>
      <c r="D34" s="98"/>
      <c r="E34" s="98">
        <v>0</v>
      </c>
      <c r="F34" s="307">
        <v>30800</v>
      </c>
      <c r="G34" s="98">
        <v>0</v>
      </c>
      <c r="H34" s="307">
        <f>(H18-H32)*15%</f>
        <v>0</v>
      </c>
      <c r="I34" s="199">
        <f>SUM(C34:G34)</f>
        <v>130585.25</v>
      </c>
    </row>
    <row r="35" spans="2:9" s="95" customFormat="1">
      <c r="B35" s="88" t="s">
        <v>414</v>
      </c>
      <c r="C35" s="200"/>
      <c r="D35" s="200"/>
      <c r="E35" s="200"/>
      <c r="F35" s="200"/>
      <c r="G35" s="200"/>
      <c r="H35" s="200"/>
      <c r="I35" s="201"/>
    </row>
    <row r="36" spans="2:9" s="95" customFormat="1">
      <c r="B36" s="88"/>
      <c r="C36" s="89"/>
      <c r="D36" s="89"/>
      <c r="E36" s="89"/>
      <c r="F36" s="89"/>
      <c r="G36" s="89"/>
      <c r="H36" s="89"/>
      <c r="I36" s="96"/>
    </row>
    <row r="37" spans="2:9" s="95" customFormat="1" ht="13" thickBot="1">
      <c r="B37" s="95" t="str">
        <f>B18</f>
        <v>Balance at 18 Magh 2082</v>
      </c>
      <c r="C37" s="202">
        <f>C34+C32</f>
        <v>232832.25</v>
      </c>
      <c r="D37" s="202">
        <f>SUM(D32:D35)</f>
        <v>0</v>
      </c>
      <c r="E37" s="202">
        <f>SUM(E32:E35)</f>
        <v>0</v>
      </c>
      <c r="F37" s="202">
        <f>F34+F32</f>
        <v>45467</v>
      </c>
      <c r="G37" s="202">
        <f>SUM(G32:G35)</f>
        <v>0</v>
      </c>
      <c r="H37" s="202">
        <f>SUM(H32:H35)</f>
        <v>0</v>
      </c>
      <c r="I37" s="202">
        <f>SUM(C37:G37)</f>
        <v>278299.25</v>
      </c>
    </row>
    <row r="38" spans="2:9" s="95" customFormat="1" ht="13" thickTop="1">
      <c r="C38" s="114"/>
      <c r="D38" s="114"/>
      <c r="E38" s="114"/>
      <c r="F38" s="114"/>
      <c r="G38" s="114"/>
      <c r="H38" s="114"/>
      <c r="I38" s="114"/>
    </row>
    <row r="39" spans="2:9" s="95" customFormat="1">
      <c r="B39" s="88" t="s">
        <v>417</v>
      </c>
      <c r="C39" s="114"/>
      <c r="D39" s="114"/>
      <c r="E39" s="114"/>
      <c r="F39" s="114"/>
      <c r="G39" s="114"/>
      <c r="H39" s="114"/>
      <c r="I39" s="114"/>
    </row>
    <row r="40" spans="2:9" s="95" customFormat="1">
      <c r="B40" s="88" t="s">
        <v>414</v>
      </c>
      <c r="C40" s="200"/>
      <c r="D40" s="200"/>
      <c r="E40" s="200"/>
      <c r="F40" s="200"/>
      <c r="G40" s="200"/>
      <c r="H40" s="200"/>
      <c r="I40" s="201"/>
    </row>
    <row r="41" spans="2:9" s="95" customFormat="1">
      <c r="C41" s="89"/>
      <c r="D41" s="89"/>
      <c r="E41" s="89"/>
      <c r="F41" s="89"/>
      <c r="G41" s="89"/>
      <c r="H41" s="89"/>
      <c r="I41" s="96"/>
    </row>
    <row r="42" spans="2:9" s="95" customFormat="1" ht="13" thickBot="1">
      <c r="B42" s="95" t="s">
        <v>608</v>
      </c>
      <c r="C42" s="202">
        <f t="shared" ref="C42:I42" si="4">C39+C37</f>
        <v>232832.25</v>
      </c>
      <c r="D42" s="202">
        <f t="shared" si="4"/>
        <v>0</v>
      </c>
      <c r="E42" s="202">
        <f t="shared" si="4"/>
        <v>0</v>
      </c>
      <c r="F42" s="202">
        <f t="shared" si="4"/>
        <v>45467</v>
      </c>
      <c r="G42" s="202">
        <f t="shared" si="4"/>
        <v>0</v>
      </c>
      <c r="H42" s="202">
        <f t="shared" si="4"/>
        <v>0</v>
      </c>
      <c r="I42" s="202">
        <f t="shared" si="4"/>
        <v>278299.25</v>
      </c>
    </row>
    <row r="43" spans="2:9" s="95" customFormat="1" ht="13" thickTop="1">
      <c r="C43" s="96"/>
      <c r="D43" s="96"/>
      <c r="E43" s="96"/>
      <c r="F43" s="96"/>
      <c r="G43" s="96"/>
      <c r="H43" s="96"/>
      <c r="I43" s="96"/>
    </row>
    <row r="44" spans="2:9" s="95" customFormat="1">
      <c r="B44" s="203" t="s">
        <v>418</v>
      </c>
      <c r="C44" s="96"/>
      <c r="D44" s="96"/>
      <c r="E44" s="96"/>
      <c r="F44" s="96"/>
      <c r="G44" s="96"/>
      <c r="H44" s="96"/>
      <c r="I44" s="96"/>
    </row>
    <row r="45" spans="2:9" s="95" customFormat="1" hidden="1">
      <c r="C45" s="96"/>
      <c r="D45" s="96"/>
      <c r="E45" s="96"/>
      <c r="F45" s="96"/>
      <c r="G45" s="96"/>
      <c r="H45" s="96"/>
      <c r="I45" s="96"/>
    </row>
    <row r="46" spans="2:9" s="95" customFormat="1" ht="13" hidden="1" thickBot="1">
      <c r="B46" s="204" t="s">
        <v>419</v>
      </c>
      <c r="C46" s="202">
        <f t="shared" ref="C46:I46" si="5">C8-C27</f>
        <v>0</v>
      </c>
      <c r="D46" s="202">
        <f t="shared" si="5"/>
        <v>0</v>
      </c>
      <c r="E46" s="202">
        <f t="shared" si="5"/>
        <v>0</v>
      </c>
      <c r="F46" s="202">
        <f t="shared" si="5"/>
        <v>0</v>
      </c>
      <c r="G46" s="202">
        <f t="shared" si="5"/>
        <v>0</v>
      </c>
      <c r="H46" s="202">
        <f t="shared" si="5"/>
        <v>0</v>
      </c>
      <c r="I46" s="202">
        <f t="shared" si="5"/>
        <v>0</v>
      </c>
    </row>
    <row r="47" spans="2:9" s="95" customFormat="1">
      <c r="B47" s="204"/>
      <c r="C47" s="96"/>
      <c r="D47" s="96"/>
      <c r="E47" s="96"/>
      <c r="F47" s="96"/>
      <c r="G47" s="96"/>
      <c r="H47" s="96"/>
      <c r="I47" s="96"/>
    </row>
    <row r="48" spans="2:9" s="95" customFormat="1" ht="13" thickBot="1">
      <c r="B48" s="204" t="s">
        <v>420</v>
      </c>
      <c r="C48" s="202">
        <f>C13-C32</f>
        <v>399141</v>
      </c>
      <c r="D48" s="202">
        <f t="shared" ref="D48:H48" si="6">D13-D32</f>
        <v>0</v>
      </c>
      <c r="E48" s="202">
        <f t="shared" si="6"/>
        <v>0</v>
      </c>
      <c r="F48" s="202">
        <f t="shared" si="6"/>
        <v>205333</v>
      </c>
      <c r="G48" s="202">
        <f t="shared" si="6"/>
        <v>0</v>
      </c>
      <c r="H48" s="202">
        <f t="shared" si="6"/>
        <v>0</v>
      </c>
      <c r="I48" s="205">
        <f>SUM(C48:G48)</f>
        <v>604474</v>
      </c>
    </row>
    <row r="49" spans="2:9" s="95" customFormat="1" ht="13" thickTop="1">
      <c r="B49" s="204"/>
      <c r="C49" s="96"/>
      <c r="D49" s="96"/>
      <c r="E49" s="96"/>
      <c r="F49" s="96"/>
      <c r="G49" s="96"/>
      <c r="H49" s="96"/>
      <c r="I49" s="96"/>
    </row>
    <row r="50" spans="2:9" ht="13" thickBot="1">
      <c r="B50" s="206" t="s">
        <v>595</v>
      </c>
      <c r="C50" s="205">
        <f>C18-C37</f>
        <v>299355.75</v>
      </c>
      <c r="D50" s="205">
        <f t="shared" ref="D50:H50" si="7">D18-D37</f>
        <v>0</v>
      </c>
      <c r="E50" s="205">
        <f t="shared" si="7"/>
        <v>0</v>
      </c>
      <c r="F50" s="205">
        <f t="shared" si="7"/>
        <v>174533</v>
      </c>
      <c r="G50" s="205">
        <f t="shared" si="7"/>
        <v>0</v>
      </c>
      <c r="H50" s="205">
        <f t="shared" si="7"/>
        <v>0</v>
      </c>
      <c r="I50" s="205">
        <f>SUM(C50:G50)</f>
        <v>473888.75</v>
      </c>
    </row>
    <row r="51" spans="2:9" ht="13" thickTop="1">
      <c r="B51" s="206"/>
    </row>
    <row r="52" spans="2:9" ht="13" thickBot="1">
      <c r="B52" s="206" t="s">
        <v>604</v>
      </c>
      <c r="C52" s="205">
        <f t="shared" ref="C52:I52" si="8">C23-C42</f>
        <v>299355.75</v>
      </c>
      <c r="D52" s="205">
        <f t="shared" si="8"/>
        <v>0</v>
      </c>
      <c r="E52" s="205">
        <f t="shared" si="8"/>
        <v>0</v>
      </c>
      <c r="F52" s="205">
        <f t="shared" si="8"/>
        <v>174533</v>
      </c>
      <c r="G52" s="205">
        <f t="shared" si="8"/>
        <v>0</v>
      </c>
      <c r="H52" s="205">
        <f t="shared" si="8"/>
        <v>0</v>
      </c>
      <c r="I52" s="205">
        <f t="shared" si="8"/>
        <v>473888.75</v>
      </c>
    </row>
    <row r="53" spans="2:9" ht="13" thickTop="1">
      <c r="B53" s="206"/>
    </row>
    <row r="54" spans="2:9">
      <c r="B54" s="95" t="s">
        <v>421</v>
      </c>
    </row>
    <row r="55" spans="2:9" ht="28" customHeight="1" thickBot="1">
      <c r="B55" s="207" t="s">
        <v>1</v>
      </c>
      <c r="C55" s="325" t="s">
        <v>574</v>
      </c>
      <c r="D55" s="325"/>
      <c r="E55" s="325" t="s">
        <v>423</v>
      </c>
      <c r="F55" s="325"/>
      <c r="G55" s="325">
        <v>2080.0810000000001</v>
      </c>
      <c r="H55" s="325"/>
      <c r="I55" s="325"/>
    </row>
    <row r="56" spans="2:9" ht="13" thickTop="1">
      <c r="B56" s="88" t="s">
        <v>422</v>
      </c>
      <c r="C56" s="326">
        <f>C76</f>
        <v>17094931.352020204</v>
      </c>
      <c r="D56" s="326"/>
      <c r="E56" s="326">
        <f>D76</f>
        <v>1280455.2020202021</v>
      </c>
      <c r="F56" s="326"/>
      <c r="G56" s="326">
        <f>F76</f>
        <v>15814476.15</v>
      </c>
      <c r="H56" s="326"/>
      <c r="I56" s="326"/>
    </row>
    <row r="57" spans="2:9">
      <c r="B57" s="173"/>
      <c r="C57" s="173"/>
      <c r="D57" s="173"/>
      <c r="E57" s="173"/>
    </row>
    <row r="58" spans="2:9" ht="25.5" thickBot="1">
      <c r="B58" s="209"/>
      <c r="C58" s="208" t="s">
        <v>609</v>
      </c>
      <c r="D58" s="325" t="s">
        <v>423</v>
      </c>
      <c r="E58" s="325"/>
      <c r="F58" s="208" t="s">
        <v>574</v>
      </c>
      <c r="G58" s="209"/>
      <c r="H58" s="209"/>
      <c r="I58" s="209"/>
    </row>
    <row r="59" spans="2:9" ht="15" thickTop="1">
      <c r="B59" s="44" t="s">
        <v>155</v>
      </c>
      <c r="C59" s="210">
        <f>F59+D59</f>
        <v>8000000</v>
      </c>
      <c r="D59" s="211">
        <f>'TB update upto 10.18'!I59</f>
        <v>0</v>
      </c>
      <c r="F59" s="48">
        <f>'TB update upto 10.18'!G59</f>
        <v>8000000</v>
      </c>
      <c r="G59" s="211"/>
    </row>
    <row r="60" spans="2:9" ht="14.5">
      <c r="B60" s="41" t="s">
        <v>63</v>
      </c>
      <c r="C60" s="210">
        <f>F60+D60</f>
        <v>2000000</v>
      </c>
      <c r="D60" s="211">
        <f>'TB update upto 10.18'!I60</f>
        <v>0</v>
      </c>
      <c r="F60" s="48">
        <f>'TB update upto 10.18'!G60</f>
        <v>2000000</v>
      </c>
      <c r="G60" s="211"/>
    </row>
    <row r="61" spans="2:9" ht="14.5">
      <c r="B61" s="44" t="s">
        <v>156</v>
      </c>
      <c r="C61" s="210">
        <f>F61+D61</f>
        <v>300000</v>
      </c>
      <c r="D61" s="211">
        <f>'TB update upto 10.18'!I61</f>
        <v>0</v>
      </c>
      <c r="F61" s="48">
        <f>'TB update upto 10.18'!G61</f>
        <v>300000</v>
      </c>
      <c r="G61" s="211"/>
    </row>
    <row r="62" spans="2:9" ht="14.5">
      <c r="B62" s="44" t="s">
        <v>157</v>
      </c>
      <c r="C62" s="210">
        <f>F62+D62</f>
        <v>102000</v>
      </c>
      <c r="D62" s="211">
        <f>'TB update upto 10.18'!I62</f>
        <v>0</v>
      </c>
      <c r="F62" s="48">
        <f>'TB update upto 10.18'!G62</f>
        <v>102000</v>
      </c>
      <c r="G62" s="211"/>
    </row>
    <row r="63" spans="2:9" ht="14.5">
      <c r="B63" s="44" t="s">
        <v>158</v>
      </c>
      <c r="C63" s="210">
        <f t="shared" ref="C63:C75" si="9">F63+D63</f>
        <v>275027.15000000002</v>
      </c>
      <c r="D63" s="211">
        <f>'TB update upto 10.18'!I63</f>
        <v>370</v>
      </c>
      <c r="F63" s="48">
        <f>'TB update upto 10.18'!G63</f>
        <v>274657.15000000002</v>
      </c>
      <c r="G63" s="211"/>
    </row>
    <row r="64" spans="2:9" ht="14.5">
      <c r="B64" s="44" t="s">
        <v>159</v>
      </c>
      <c r="C64" s="210">
        <f t="shared" si="9"/>
        <v>197000</v>
      </c>
      <c r="D64" s="211">
        <f>'TB update upto 10.18'!I64</f>
        <v>0</v>
      </c>
      <c r="F64" s="48">
        <f>'TB update upto 10.18'!G64</f>
        <v>197000</v>
      </c>
      <c r="G64" s="211"/>
    </row>
    <row r="65" spans="2:7" ht="14.5">
      <c r="B65" s="44" t="s">
        <v>160</v>
      </c>
      <c r="C65" s="210">
        <f t="shared" si="9"/>
        <v>3917020.2020202018</v>
      </c>
      <c r="D65" s="211">
        <f>'TB update upto 10.18'!I65</f>
        <v>927020.20202020206</v>
      </c>
      <c r="F65" s="48">
        <f>'TB update upto 10.18'!G65</f>
        <v>2990000</v>
      </c>
      <c r="G65" s="211"/>
    </row>
    <row r="66" spans="2:7" ht="14.5">
      <c r="B66" s="44" t="s">
        <v>161</v>
      </c>
      <c r="C66" s="210">
        <f t="shared" si="9"/>
        <v>808129</v>
      </c>
      <c r="D66" s="211">
        <f>'TB update upto 10.18'!I66</f>
        <v>0</v>
      </c>
      <c r="F66" s="48">
        <f>'TB update upto 10.18'!G66</f>
        <v>808129</v>
      </c>
      <c r="G66" s="211"/>
    </row>
    <row r="67" spans="2:7" ht="14.5">
      <c r="B67" s="44" t="s">
        <v>162</v>
      </c>
      <c r="C67" s="210">
        <f t="shared" si="9"/>
        <v>660000</v>
      </c>
      <c r="D67" s="211">
        <f>'TB update upto 10.18'!I67</f>
        <v>0</v>
      </c>
      <c r="F67" s="48">
        <f>'TB update upto 10.18'!G67</f>
        <v>660000</v>
      </c>
      <c r="G67" s="211"/>
    </row>
    <row r="68" spans="2:7" ht="14.5">
      <c r="B68" s="44" t="s">
        <v>163</v>
      </c>
      <c r="C68" s="210">
        <f t="shared" si="9"/>
        <v>240000</v>
      </c>
      <c r="D68" s="211">
        <f>'TB update upto 10.18'!I68</f>
        <v>0</v>
      </c>
      <c r="F68" s="48">
        <f>'TB update upto 10.18'!G68</f>
        <v>240000</v>
      </c>
      <c r="G68" s="211"/>
    </row>
    <row r="69" spans="2:7" ht="14.5">
      <c r="B69" s="44" t="s">
        <v>164</v>
      </c>
      <c r="C69" s="210">
        <f t="shared" si="9"/>
        <v>37700</v>
      </c>
      <c r="D69" s="211">
        <f>'TB update upto 10.18'!I69</f>
        <v>0</v>
      </c>
      <c r="F69" s="48">
        <f>'TB update upto 10.18'!G69</f>
        <v>37700</v>
      </c>
      <c r="G69" s="211"/>
    </row>
    <row r="70" spans="2:7" ht="14.5">
      <c r="B70" s="44" t="s">
        <v>165</v>
      </c>
      <c r="C70" s="210">
        <f t="shared" si="9"/>
        <v>60880</v>
      </c>
      <c r="D70" s="211">
        <f>'TB update upto 10.18'!I70</f>
        <v>11565</v>
      </c>
      <c r="F70" s="48">
        <f>'TB update upto 10.18'!G70</f>
        <v>49315</v>
      </c>
      <c r="G70" s="211"/>
    </row>
    <row r="71" spans="2:7" ht="14.5">
      <c r="B71" s="44" t="s">
        <v>166</v>
      </c>
      <c r="C71" s="210">
        <f t="shared" si="9"/>
        <v>24445</v>
      </c>
      <c r="D71" s="211">
        <f>'TB update upto 10.18'!I71</f>
        <v>2500</v>
      </c>
      <c r="F71" s="48">
        <f>'TB update upto 10.18'!G71</f>
        <v>21945</v>
      </c>
      <c r="G71" s="211"/>
    </row>
    <row r="72" spans="2:7" ht="14.5">
      <c r="B72" s="44" t="s">
        <v>167</v>
      </c>
      <c r="C72" s="210">
        <f t="shared" si="9"/>
        <v>85230</v>
      </c>
      <c r="D72" s="211">
        <f>'TB update upto 10.18'!I72</f>
        <v>0</v>
      </c>
      <c r="F72" s="48">
        <f>'TB update upto 10.18'!G72</f>
        <v>85230</v>
      </c>
      <c r="G72" s="211"/>
    </row>
    <row r="73" spans="2:7" ht="14.5">
      <c r="B73" s="44" t="s">
        <v>49</v>
      </c>
      <c r="C73" s="210">
        <f t="shared" si="9"/>
        <v>48500</v>
      </c>
      <c r="D73" s="211">
        <f>'TB update upto 10.18'!I73</f>
        <v>0</v>
      </c>
      <c r="F73" s="48">
        <f>'TB update upto 10.18'!G73</f>
        <v>48500</v>
      </c>
      <c r="G73" s="211"/>
    </row>
    <row r="74" spans="2:7" ht="14.5">
      <c r="B74" s="41" t="s">
        <v>91</v>
      </c>
      <c r="C74" s="210">
        <f t="shared" si="9"/>
        <v>339000</v>
      </c>
      <c r="D74" s="211">
        <f>'TB update upto 10.18'!I74</f>
        <v>339000</v>
      </c>
      <c r="F74" s="48">
        <f>'TB update upto 10.18'!G74</f>
        <v>0</v>
      </c>
      <c r="G74" s="211"/>
    </row>
    <row r="75" spans="2:7" ht="14.5">
      <c r="B75" s="41" t="s">
        <v>105</v>
      </c>
      <c r="C75" s="210">
        <f t="shared" si="9"/>
        <v>0</v>
      </c>
      <c r="D75" s="211">
        <f>'TB update upto 10.18'!I75</f>
        <v>0</v>
      </c>
      <c r="F75" s="48">
        <f>'TB update upto 10.18'!G75</f>
        <v>0</v>
      </c>
      <c r="G75" s="211"/>
    </row>
    <row r="76" spans="2:7" ht="13" thickBot="1">
      <c r="C76" s="212">
        <f>SUM(C59:C75)</f>
        <v>17094931.352020204</v>
      </c>
      <c r="D76" s="212">
        <f>SUM(D59:D75)</f>
        <v>1280455.2020202021</v>
      </c>
      <c r="E76" s="212"/>
      <c r="F76" s="212">
        <f>SUM(F59:F75)</f>
        <v>15814476.15</v>
      </c>
    </row>
    <row r="77" spans="2:7" ht="13" thickTop="1"/>
  </sheetData>
  <mergeCells count="9">
    <mergeCell ref="D58:E58"/>
    <mergeCell ref="A1:I1"/>
    <mergeCell ref="A2:I2"/>
    <mergeCell ref="C55:D55"/>
    <mergeCell ref="E55:F55"/>
    <mergeCell ref="G55:I55"/>
    <mergeCell ref="C56:D56"/>
    <mergeCell ref="E56:F56"/>
    <mergeCell ref="G56:I56"/>
  </mergeCells>
  <pageMargins left="0.7" right="0.7" top="0.75" bottom="0.75" header="0.3" footer="0.3"/>
  <pageSetup paperSize="9" scale="64" orientation="portrait" r:id="rId1"/>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G72"/>
  <sheetViews>
    <sheetView showGridLines="0" view="pageBreakPreview" topLeftCell="A36" zoomScaleNormal="100" zoomScaleSheetLayoutView="100" workbookViewId="0">
      <selection activeCell="C50" sqref="C50"/>
    </sheetView>
  </sheetViews>
  <sheetFormatPr defaultColWidth="9.1796875" defaultRowHeight="13.5"/>
  <cols>
    <col min="1" max="1" width="6.453125" style="180" bestFit="1" customWidth="1"/>
    <col min="2" max="2" width="45.26953125" style="180" customWidth="1"/>
    <col min="3" max="3" width="17.6328125" style="241" customWidth="1"/>
    <col min="4" max="4" width="16.453125" style="340" customWidth="1"/>
    <col min="5" max="5" width="18.08984375" style="180" hidden="1" customWidth="1"/>
    <col min="6" max="6" width="18.81640625" style="180" hidden="1" customWidth="1"/>
    <col min="7" max="16384" width="9.1796875" style="180"/>
  </cols>
  <sheetData>
    <row r="1" spans="1:7" ht="17.5">
      <c r="A1" s="327" t="str">
        <f>'[5]3.3'!A1:E1</f>
        <v>CELER MART PVT. LTD.</v>
      </c>
      <c r="B1" s="327"/>
      <c r="C1" s="327"/>
      <c r="D1" s="327"/>
      <c r="E1" s="327"/>
      <c r="F1" s="214"/>
      <c r="G1" s="214"/>
    </row>
    <row r="2" spans="1:7" ht="18">
      <c r="D2" s="338"/>
      <c r="E2" s="215"/>
      <c r="F2" s="216"/>
      <c r="G2" s="215"/>
    </row>
    <row r="3" spans="1:7" ht="20" customHeight="1">
      <c r="A3" s="328" t="s">
        <v>337</v>
      </c>
      <c r="B3" s="328"/>
      <c r="C3" s="328"/>
      <c r="D3" s="328"/>
      <c r="E3" s="328"/>
      <c r="F3" s="237"/>
      <c r="G3" s="237"/>
    </row>
    <row r="4" spans="1:7" ht="20" customHeight="1">
      <c r="D4" s="338"/>
      <c r="E4" s="217"/>
      <c r="F4" s="215"/>
      <c r="G4" s="215"/>
    </row>
    <row r="5" spans="1:7" ht="20" customHeight="1" thickBot="1">
      <c r="A5" s="218"/>
      <c r="B5" s="218"/>
      <c r="C5" s="358"/>
      <c r="D5" s="339"/>
      <c r="E5" s="182"/>
      <c r="F5" s="182" t="s">
        <v>276</v>
      </c>
    </row>
    <row r="6" spans="1:7" ht="20" customHeight="1"/>
    <row r="7" spans="1:7" ht="20" customHeight="1">
      <c r="A7" s="183">
        <v>3.9</v>
      </c>
      <c r="B7" s="95" t="s">
        <v>453</v>
      </c>
      <c r="C7" s="359"/>
      <c r="D7" s="341"/>
      <c r="E7" s="89"/>
    </row>
    <row r="8" spans="1:7" ht="20" customHeight="1">
      <c r="B8" s="88"/>
      <c r="C8" s="360" t="s">
        <v>584</v>
      </c>
      <c r="D8" s="342" t="str">
        <f>'3.7 to 3.8 10.18'!D8</f>
        <v xml:space="preserve">As at </v>
      </c>
      <c r="E8" s="238" t="str">
        <f>'3.7 to 3.8 10.18'!E8</f>
        <v xml:space="preserve">As at </v>
      </c>
      <c r="F8" s="238" t="str">
        <f>E8</f>
        <v xml:space="preserve">As at </v>
      </c>
    </row>
    <row r="9" spans="1:7" ht="20" customHeight="1" thickBot="1">
      <c r="B9" s="95"/>
      <c r="C9" s="361" t="s">
        <v>610</v>
      </c>
      <c r="D9" s="343" t="str">
        <f>'SOFP  10.18'!C6</f>
        <v>18 Magh 2082</v>
      </c>
      <c r="E9" s="120" t="str">
        <f>'SOFP  10.18'!D6</f>
        <v>32 Ashadh 2082</v>
      </c>
      <c r="F9" s="120" t="str">
        <f>'SOFP  10.18'!E6</f>
        <v>1 Shrawan 2081</v>
      </c>
    </row>
    <row r="10" spans="1:7" ht="20" customHeight="1">
      <c r="B10" s="239" t="s">
        <v>454</v>
      </c>
      <c r="C10" s="362"/>
      <c r="D10" s="344"/>
      <c r="E10" s="96"/>
    </row>
    <row r="11" spans="1:7" ht="20" customHeight="1">
      <c r="B11" s="240" t="s">
        <v>455</v>
      </c>
      <c r="C11" s="363"/>
      <c r="D11" s="98">
        <v>0</v>
      </c>
      <c r="E11" s="224">
        <v>0</v>
      </c>
      <c r="F11" s="241">
        <v>0</v>
      </c>
    </row>
    <row r="12" spans="1:7" ht="20" customHeight="1">
      <c r="B12" s="240" t="s">
        <v>456</v>
      </c>
      <c r="C12" s="363"/>
      <c r="D12" s="98">
        <v>0</v>
      </c>
      <c r="E12" s="224">
        <v>0</v>
      </c>
      <c r="F12" s="241">
        <v>20756010</v>
      </c>
    </row>
    <row r="13" spans="1:7" ht="20" customHeight="1">
      <c r="B13" s="240" t="s">
        <v>145</v>
      </c>
      <c r="C13" s="363"/>
      <c r="D13" s="98">
        <f>'TB update upto 10.18'!H49</f>
        <v>2200000</v>
      </c>
      <c r="E13" s="98">
        <v>2200000</v>
      </c>
      <c r="F13" s="241"/>
    </row>
    <row r="14" spans="1:7" ht="20" customHeight="1">
      <c r="B14" s="240" t="s">
        <v>457</v>
      </c>
      <c r="C14" s="363"/>
      <c r="D14" s="98">
        <v>0</v>
      </c>
      <c r="E14" s="98">
        <v>1300000</v>
      </c>
      <c r="F14" s="241"/>
    </row>
    <row r="15" spans="1:7" ht="20" customHeight="1">
      <c r="B15" s="240" t="s">
        <v>147</v>
      </c>
      <c r="C15" s="363"/>
      <c r="D15" s="98"/>
      <c r="E15" s="98">
        <v>12000000</v>
      </c>
      <c r="F15" s="241"/>
    </row>
    <row r="16" spans="1:7" ht="20" customHeight="1">
      <c r="B16" s="240" t="s">
        <v>139</v>
      </c>
      <c r="C16" s="364">
        <f>'TB update upto 10.18'!L40</f>
        <v>40000</v>
      </c>
      <c r="D16" s="98">
        <f>'TB update upto 10.18'!H40</f>
        <v>390000</v>
      </c>
      <c r="E16" s="98">
        <v>365000</v>
      </c>
      <c r="F16" s="241"/>
    </row>
    <row r="17" spans="1:6" ht="20" customHeight="1">
      <c r="B17" s="240" t="s">
        <v>458</v>
      </c>
      <c r="C17" s="363"/>
      <c r="D17" s="98">
        <f>'TB update upto 10.18'!H41</f>
        <v>200000</v>
      </c>
      <c r="E17" s="98">
        <v>200000</v>
      </c>
      <c r="F17" s="241"/>
    </row>
    <row r="18" spans="1:6" ht="20" customHeight="1">
      <c r="B18" s="240" t="s">
        <v>141</v>
      </c>
      <c r="C18" s="363"/>
      <c r="D18" s="98">
        <f>'TB update upto 10.18'!H42</f>
        <v>500000</v>
      </c>
      <c r="E18" s="98">
        <v>500000</v>
      </c>
      <c r="F18" s="241"/>
    </row>
    <row r="19" spans="1:6" ht="20" customHeight="1">
      <c r="B19" s="240" t="s">
        <v>459</v>
      </c>
      <c r="C19" s="363"/>
      <c r="D19" s="98">
        <f>'TB update upto 10.18'!H47</f>
        <v>380000</v>
      </c>
      <c r="E19" s="98">
        <v>600000</v>
      </c>
      <c r="F19" s="241"/>
    </row>
    <row r="20" spans="1:6" ht="20" customHeight="1">
      <c r="B20" s="240" t="s">
        <v>429</v>
      </c>
      <c r="C20" s="363"/>
      <c r="D20" s="98">
        <f>'TB update upto 10.18'!H89</f>
        <v>200000</v>
      </c>
      <c r="E20" s="98">
        <v>0</v>
      </c>
      <c r="F20" s="241"/>
    </row>
    <row r="21" spans="1:6" ht="20" customHeight="1">
      <c r="B21" s="240"/>
      <c r="C21" s="363"/>
      <c r="D21" s="317"/>
      <c r="E21" s="98"/>
      <c r="F21" s="241"/>
    </row>
    <row r="22" spans="1:6" ht="20" customHeight="1">
      <c r="B22" s="240"/>
      <c r="C22" s="363"/>
      <c r="D22" s="98"/>
      <c r="E22" s="98"/>
      <c r="F22" s="241"/>
    </row>
    <row r="23" spans="1:6" ht="20" customHeight="1" thickBot="1">
      <c r="B23" s="88"/>
      <c r="C23" s="227">
        <f>SUM(C11:C20)</f>
        <v>40000</v>
      </c>
      <c r="D23" s="345">
        <f>SUM(D11:D20)</f>
        <v>3870000</v>
      </c>
      <c r="E23" s="202">
        <f>SUM(E11:E20)</f>
        <v>17165000</v>
      </c>
      <c r="F23" s="202">
        <f>SUM(F11:F19)</f>
        <v>20756010</v>
      </c>
    </row>
    <row r="24" spans="1:6" ht="20" customHeight="1" thickTop="1">
      <c r="B24" s="95"/>
      <c r="C24" s="359"/>
      <c r="D24" s="344"/>
      <c r="E24" s="96"/>
    </row>
    <row r="25" spans="1:6" ht="20" customHeight="1">
      <c r="B25" s="242" t="s">
        <v>460</v>
      </c>
      <c r="C25" s="365">
        <f>C23-C26</f>
        <v>40000</v>
      </c>
      <c r="D25" s="346">
        <f>D23-D26</f>
        <v>3870000</v>
      </c>
      <c r="E25" s="113">
        <f>E23-E26</f>
        <v>17165000</v>
      </c>
      <c r="F25" s="243">
        <f>F23-F26</f>
        <v>20756010</v>
      </c>
    </row>
    <row r="26" spans="1:6" ht="20" customHeight="1">
      <c r="B26" s="242" t="s">
        <v>461</v>
      </c>
      <c r="C26" s="365">
        <f>C11</f>
        <v>0</v>
      </c>
      <c r="D26" s="346">
        <f>D11</f>
        <v>0</v>
      </c>
      <c r="E26" s="113">
        <f>E11</f>
        <v>0</v>
      </c>
      <c r="F26" s="113">
        <f>F11</f>
        <v>0</v>
      </c>
    </row>
    <row r="27" spans="1:6" ht="20" customHeight="1">
      <c r="B27" s="88"/>
      <c r="C27" s="366"/>
      <c r="D27" s="341"/>
      <c r="E27" s="89"/>
      <c r="F27" s="89"/>
    </row>
    <row r="28" spans="1:6" ht="20" customHeight="1">
      <c r="B28" s="88"/>
      <c r="C28" s="366"/>
      <c r="D28" s="341"/>
      <c r="E28" s="89"/>
    </row>
    <row r="29" spans="1:6" ht="20" customHeight="1">
      <c r="A29" s="244" t="s">
        <v>266</v>
      </c>
      <c r="B29" s="95" t="s">
        <v>267</v>
      </c>
      <c r="C29" s="359"/>
      <c r="D29" s="341"/>
      <c r="E29" s="89"/>
    </row>
    <row r="30" spans="1:6" ht="20" customHeight="1">
      <c r="B30" s="95"/>
      <c r="C30" s="359"/>
      <c r="D30" s="344"/>
      <c r="E30" s="96"/>
    </row>
    <row r="31" spans="1:6" ht="20" customHeight="1">
      <c r="B31" s="88"/>
      <c r="C31" s="360" t="str">
        <f t="shared" ref="C31:F32" si="0">C8</f>
        <v>As at</v>
      </c>
      <c r="D31" s="342" t="str">
        <f t="shared" si="0"/>
        <v xml:space="preserve">As at </v>
      </c>
      <c r="E31" s="238" t="str">
        <f t="shared" si="0"/>
        <v xml:space="preserve">As at </v>
      </c>
      <c r="F31" s="238" t="str">
        <f t="shared" si="0"/>
        <v xml:space="preserve">As at </v>
      </c>
    </row>
    <row r="32" spans="1:6" ht="20" customHeight="1">
      <c r="B32" s="95"/>
      <c r="C32" s="367" t="str">
        <f t="shared" si="0"/>
        <v>15 Asadh 2083</v>
      </c>
      <c r="D32" s="347" t="str">
        <f t="shared" si="0"/>
        <v>18 Magh 2082</v>
      </c>
      <c r="E32" s="245" t="str">
        <f t="shared" si="0"/>
        <v>32 Ashadh 2082</v>
      </c>
      <c r="F32" s="245" t="str">
        <f t="shared" si="0"/>
        <v>1 Shrawan 2081</v>
      </c>
    </row>
    <row r="33" spans="1:7" ht="20" customHeight="1">
      <c r="B33" s="239"/>
      <c r="C33" s="362"/>
      <c r="D33" s="344"/>
      <c r="E33" s="96"/>
      <c r="F33" s="96"/>
    </row>
    <row r="34" spans="1:7" ht="20" customHeight="1">
      <c r="B34" s="246" t="s">
        <v>462</v>
      </c>
      <c r="C34" s="368"/>
      <c r="D34" s="98">
        <v>0</v>
      </c>
      <c r="E34" s="224">
        <v>0</v>
      </c>
      <c r="F34" s="224"/>
    </row>
    <row r="35" spans="1:7" ht="20" customHeight="1">
      <c r="B35" s="246" t="s">
        <v>463</v>
      </c>
      <c r="C35" s="171"/>
      <c r="D35" s="101"/>
      <c r="E35" s="171"/>
      <c r="F35" s="171"/>
    </row>
    <row r="36" spans="1:7" ht="20" customHeight="1" thickBot="1">
      <c r="B36" s="88"/>
      <c r="C36" s="227">
        <f>SUM(C34:C35)</f>
        <v>0</v>
      </c>
      <c r="D36" s="345">
        <f>SUM(D34:D35)</f>
        <v>0</v>
      </c>
      <c r="E36" s="202">
        <f>SUM(E34:E35)</f>
        <v>0</v>
      </c>
      <c r="F36" s="202">
        <f>SUM(F34:F35)</f>
        <v>0</v>
      </c>
    </row>
    <row r="37" spans="1:7" ht="20" customHeight="1" thickTop="1">
      <c r="B37" s="88"/>
      <c r="C37" s="366"/>
      <c r="D37" s="341"/>
      <c r="E37" s="89"/>
    </row>
    <row r="38" spans="1:7" ht="20" customHeight="1">
      <c r="A38" s="244">
        <v>3.11</v>
      </c>
      <c r="B38" s="95" t="s">
        <v>270</v>
      </c>
      <c r="C38" s="359"/>
      <c r="D38" s="341"/>
      <c r="E38" s="89"/>
    </row>
    <row r="39" spans="1:7" ht="20" customHeight="1">
      <c r="B39" s="95"/>
      <c r="C39" s="360" t="str">
        <f t="shared" ref="C39:F40" si="1">C31</f>
        <v>As at</v>
      </c>
      <c r="D39" s="342" t="str">
        <f t="shared" si="1"/>
        <v xml:space="preserve">As at </v>
      </c>
      <c r="E39" s="238" t="str">
        <f t="shared" si="1"/>
        <v xml:space="preserve">As at </v>
      </c>
      <c r="F39" s="238" t="str">
        <f t="shared" si="1"/>
        <v xml:space="preserve">As at </v>
      </c>
    </row>
    <row r="40" spans="1:7" ht="20" customHeight="1">
      <c r="C40" s="367" t="str">
        <f t="shared" si="1"/>
        <v>15 Asadh 2083</v>
      </c>
      <c r="D40" s="347" t="str">
        <f t="shared" si="1"/>
        <v>18 Magh 2082</v>
      </c>
      <c r="E40" s="245" t="str">
        <f t="shared" si="1"/>
        <v>32 Ashadh 2082</v>
      </c>
      <c r="F40" s="245" t="str">
        <f t="shared" si="1"/>
        <v>1 Shrawan 2081</v>
      </c>
    </row>
    <row r="41" spans="1:7" ht="20" customHeight="1">
      <c r="B41" s="240" t="s">
        <v>464</v>
      </c>
      <c r="C41" s="369">
        <f>'TB update upto 10.18'!L26</f>
        <v>900</v>
      </c>
      <c r="D41" s="98">
        <f>'TB update upto 10.18'!H26</f>
        <v>825</v>
      </c>
      <c r="E41" s="224">
        <v>375</v>
      </c>
      <c r="F41" s="224">
        <v>375</v>
      </c>
    </row>
    <row r="42" spans="1:7" ht="20" customHeight="1">
      <c r="B42" s="240" t="s">
        <v>130</v>
      </c>
      <c r="C42" s="369">
        <f>'TB update upto 10.18'!L27</f>
        <v>13420.202020202021</v>
      </c>
      <c r="D42" s="98">
        <f>'TB update upto 10.18'!H27</f>
        <v>29900</v>
      </c>
      <c r="E42" s="224">
        <v>25750</v>
      </c>
      <c r="F42" s="224">
        <v>248</v>
      </c>
    </row>
    <row r="43" spans="1:7" ht="20" customHeight="1">
      <c r="B43" s="240" t="s">
        <v>465</v>
      </c>
      <c r="C43" s="363"/>
      <c r="D43" s="98">
        <f>'TB update upto 10.18'!H30</f>
        <v>24000</v>
      </c>
      <c r="E43" s="98">
        <v>24000</v>
      </c>
      <c r="F43" s="98">
        <v>0</v>
      </c>
      <c r="G43" s="180" t="s">
        <v>466</v>
      </c>
    </row>
    <row r="44" spans="1:7" ht="20" customHeight="1">
      <c r="B44" s="240" t="s">
        <v>133</v>
      </c>
      <c r="C44" s="363"/>
      <c r="D44" s="98">
        <f>'TB update upto 10.18'!H31</f>
        <v>6600</v>
      </c>
      <c r="E44" s="98">
        <v>6600</v>
      </c>
      <c r="F44" s="98">
        <v>0</v>
      </c>
    </row>
    <row r="45" spans="1:7" ht="20" customHeight="1">
      <c r="B45" s="240" t="s">
        <v>467</v>
      </c>
      <c r="C45" s="369">
        <f>'TB update upto 10.18'!L33</f>
        <v>66900</v>
      </c>
      <c r="D45" s="98">
        <f>'TB update upto 10.18'!H33</f>
        <v>61325</v>
      </c>
      <c r="E45" s="98">
        <v>27875</v>
      </c>
      <c r="F45" s="98">
        <v>27875</v>
      </c>
    </row>
    <row r="46" spans="1:7" ht="20" customHeight="1">
      <c r="B46" s="240" t="s">
        <v>136</v>
      </c>
      <c r="C46" s="363"/>
      <c r="D46" s="98">
        <f>'TB update upto 10.18'!H37</f>
        <v>222750</v>
      </c>
      <c r="E46" s="98">
        <v>222750</v>
      </c>
      <c r="F46" s="98">
        <v>0</v>
      </c>
    </row>
    <row r="47" spans="1:7" ht="20" customHeight="1">
      <c r="B47" s="240" t="s">
        <v>137</v>
      </c>
      <c r="C47" s="363"/>
      <c r="D47" s="98">
        <f>'TB update upto 10.18'!H38</f>
        <v>94500</v>
      </c>
      <c r="E47" s="98">
        <v>94500</v>
      </c>
      <c r="F47" s="98">
        <v>0</v>
      </c>
    </row>
    <row r="48" spans="1:7" ht="20" customHeight="1">
      <c r="B48" s="240" t="s">
        <v>468</v>
      </c>
      <c r="C48" s="369">
        <f>'TB update upto 10.18'!L28</f>
        <v>7275</v>
      </c>
      <c r="D48" s="98">
        <f>'TB update upto 10.18'!H28</f>
        <v>7275</v>
      </c>
      <c r="E48" s="98"/>
      <c r="F48" s="98"/>
    </row>
    <row r="49" spans="2:6" ht="20" customHeight="1">
      <c r="B49" s="240" t="s">
        <v>602</v>
      </c>
      <c r="C49" s="369">
        <f>'TB update upto 10.18'!L29</f>
        <v>4500</v>
      </c>
      <c r="D49" s="98"/>
      <c r="E49" s="98"/>
      <c r="F49" s="98"/>
    </row>
    <row r="50" spans="2:6" ht="20" customHeight="1" thickBot="1">
      <c r="B50" s="88"/>
      <c r="C50" s="195">
        <f>SUM(C41:C49)</f>
        <v>92995.202020202021</v>
      </c>
      <c r="D50" s="195">
        <f>SUM(D41:D49)</f>
        <v>447175</v>
      </c>
      <c r="E50" s="227">
        <f>SUM(E41:E47)</f>
        <v>401850</v>
      </c>
      <c r="F50" s="227">
        <f>SUM(F41:F47)</f>
        <v>28498</v>
      </c>
    </row>
    <row r="51" spans="2:6" ht="20" customHeight="1" thickTop="1">
      <c r="B51" s="88" t="s">
        <v>469</v>
      </c>
      <c r="C51" s="366"/>
      <c r="D51" s="104"/>
      <c r="E51" s="247"/>
      <c r="F51" s="247"/>
    </row>
    <row r="52" spans="2:6" ht="20" customHeight="1">
      <c r="B52" s="88" t="str">
        <f>[5]Sheet1!A8</f>
        <v>Sita Karki</v>
      </c>
      <c r="C52" s="307">
        <f>'TB update upto 10.18'!L44</f>
        <v>0</v>
      </c>
      <c r="D52" s="197">
        <f>'TB update upto 10.18'!H44</f>
        <v>700000</v>
      </c>
      <c r="E52" s="247"/>
      <c r="F52" s="247"/>
    </row>
    <row r="53" spans="2:6" ht="20" customHeight="1">
      <c r="B53" s="88" t="str">
        <f>[5]Sheet1!A19</f>
        <v>Mamata Acharya - Payable</v>
      </c>
      <c r="C53" s="366"/>
      <c r="D53" s="197"/>
      <c r="E53" s="247"/>
      <c r="F53" s="247"/>
    </row>
    <row r="54" spans="2:6" ht="20" customHeight="1">
      <c r="B54" t="s">
        <v>33</v>
      </c>
      <c r="C54" s="11"/>
      <c r="D54" s="25"/>
      <c r="E54" s="25">
        <v>0</v>
      </c>
      <c r="F54" s="247"/>
    </row>
    <row r="55" spans="2:6" ht="20" customHeight="1">
      <c r="B55" t="s">
        <v>37</v>
      </c>
      <c r="C55" s="364">
        <f>'TB update upto 10.18'!L46</f>
        <v>2000</v>
      </c>
      <c r="D55" s="25">
        <f>'TB update upto 10.18'!H46</f>
        <v>2000</v>
      </c>
      <c r="E55" s="25"/>
      <c r="F55" s="247"/>
    </row>
    <row r="56" spans="2:6" ht="20" customHeight="1">
      <c r="B56" t="s">
        <v>39</v>
      </c>
      <c r="C56" s="11"/>
      <c r="D56" s="25"/>
      <c r="E56" s="25">
        <v>0</v>
      </c>
      <c r="F56" s="247"/>
    </row>
    <row r="57" spans="2:6" ht="20" customHeight="1">
      <c r="B57" t="s">
        <v>40</v>
      </c>
      <c r="C57" s="11"/>
      <c r="D57" s="25"/>
      <c r="E57" s="25">
        <v>0</v>
      </c>
      <c r="F57" s="247"/>
    </row>
    <row r="58" spans="2:6" ht="20" customHeight="1">
      <c r="B58" t="s">
        <v>44</v>
      </c>
      <c r="C58" s="11"/>
      <c r="D58" s="25"/>
      <c r="E58" s="25"/>
      <c r="F58" s="247"/>
    </row>
    <row r="59" spans="2:6" ht="20" customHeight="1">
      <c r="B59" t="s">
        <v>53</v>
      </c>
      <c r="C59" s="11"/>
      <c r="D59" s="25"/>
      <c r="E59" s="25"/>
      <c r="F59" s="247"/>
    </row>
    <row r="60" spans="2:6" ht="20" customHeight="1">
      <c r="B60" t="s">
        <v>58</v>
      </c>
      <c r="C60" s="11"/>
      <c r="D60" s="25"/>
      <c r="E60" s="25"/>
      <c r="F60" s="247"/>
    </row>
    <row r="61" spans="2:6" ht="20" customHeight="1">
      <c r="B61" t="s">
        <v>73</v>
      </c>
      <c r="C61" s="11"/>
      <c r="D61" s="25">
        <f>'TB update upto 10.18'!H107</f>
        <v>40000</v>
      </c>
      <c r="E61" s="25"/>
      <c r="F61" s="247"/>
    </row>
    <row r="62" spans="2:6" ht="20" customHeight="1">
      <c r="B62" t="s">
        <v>603</v>
      </c>
      <c r="C62" s="11">
        <f>'TB update upto 10.18'!L98</f>
        <v>190000</v>
      </c>
      <c r="D62" s="25"/>
      <c r="E62" s="25"/>
      <c r="F62" s="247"/>
    </row>
    <row r="63" spans="2:6" s="88" customFormat="1" ht="20" customHeight="1">
      <c r="C63" s="359">
        <f>SUM(C52:C62)</f>
        <v>192000</v>
      </c>
      <c r="D63" s="318">
        <f>SUM(D52:D62)</f>
        <v>742000</v>
      </c>
    </row>
    <row r="64" spans="2:6" ht="20" customHeight="1">
      <c r="B64" s="88"/>
      <c r="C64" s="366"/>
      <c r="D64" s="104"/>
      <c r="E64" s="247"/>
      <c r="F64" s="247"/>
    </row>
    <row r="65" spans="1:6" ht="20" customHeight="1">
      <c r="B65" s="88"/>
      <c r="C65" s="366"/>
      <c r="D65" s="104"/>
      <c r="E65" s="247"/>
      <c r="F65" s="247"/>
    </row>
    <row r="66" spans="1:6" ht="20" customHeight="1">
      <c r="A66" s="244">
        <v>3.12</v>
      </c>
      <c r="B66" s="95" t="s">
        <v>470</v>
      </c>
      <c r="C66" s="359"/>
      <c r="D66" s="341"/>
      <c r="E66" s="89"/>
    </row>
    <row r="67" spans="1:6" ht="20" customHeight="1">
      <c r="B67" s="95"/>
      <c r="C67" s="359"/>
      <c r="D67" s="342" t="str">
        <f t="shared" ref="D67:F68" si="2">D39</f>
        <v xml:space="preserve">As at </v>
      </c>
      <c r="E67" s="238" t="str">
        <f t="shared" si="2"/>
        <v xml:space="preserve">As at </v>
      </c>
      <c r="F67" s="238" t="str">
        <f t="shared" si="2"/>
        <v xml:space="preserve">As at </v>
      </c>
    </row>
    <row r="68" spans="1:6" ht="20" customHeight="1">
      <c r="D68" s="347" t="str">
        <f t="shared" si="2"/>
        <v>18 Magh 2082</v>
      </c>
      <c r="E68" s="245" t="str">
        <f t="shared" si="2"/>
        <v>32 Ashadh 2082</v>
      </c>
      <c r="F68" s="245" t="str">
        <f t="shared" si="2"/>
        <v>1 Shrawan 2081</v>
      </c>
    </row>
    <row r="69" spans="1:6" ht="20" customHeight="1">
      <c r="B69" s="240" t="s">
        <v>471</v>
      </c>
      <c r="C69" s="363"/>
      <c r="D69" s="98">
        <v>0</v>
      </c>
      <c r="E69" s="224">
        <v>0</v>
      </c>
      <c r="F69" s="224">
        <v>0</v>
      </c>
    </row>
    <row r="70" spans="1:6" ht="20" customHeight="1">
      <c r="B70" s="240"/>
      <c r="C70" s="363"/>
      <c r="D70" s="98"/>
      <c r="E70" s="224"/>
      <c r="F70" s="224"/>
    </row>
    <row r="71" spans="1:6" ht="20" customHeight="1" thickBot="1">
      <c r="B71" s="88"/>
      <c r="C71" s="366"/>
      <c r="D71" s="195">
        <f>SUM(D69:D70)</f>
        <v>0</v>
      </c>
      <c r="E71" s="227">
        <f>SUM(E69:E70)</f>
        <v>0</v>
      </c>
      <c r="F71" s="227">
        <f>SUM(F69:F70)</f>
        <v>0</v>
      </c>
    </row>
    <row r="72" spans="1:6" ht="14" thickTop="1"/>
  </sheetData>
  <mergeCells count="2">
    <mergeCell ref="A1:E1"/>
    <mergeCell ref="A3:E3"/>
  </mergeCells>
  <pageMargins left="0.7" right="0.7" top="0.75" bottom="0.75" header="0.3" footer="0.3"/>
  <pageSetup scale="97" orientation="portrait" r:id="rId1"/>
  <rowBreaks count="2" manualBreakCount="2">
    <brk id="27" max="3" man="1"/>
    <brk id="64" max="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K62"/>
  <sheetViews>
    <sheetView showGridLines="0" view="pageBreakPreview" topLeftCell="A36" zoomScaleNormal="100" zoomScaleSheetLayoutView="100" workbookViewId="0">
      <selection activeCell="D50" sqref="D50"/>
    </sheetView>
  </sheetViews>
  <sheetFormatPr defaultColWidth="9.1796875" defaultRowHeight="13.5"/>
  <cols>
    <col min="1" max="1" width="6" style="180" customWidth="1"/>
    <col min="2" max="2" width="35.6328125" style="180" customWidth="1"/>
    <col min="3" max="3" width="8.81640625" style="180" customWidth="1"/>
    <col min="4" max="5" width="16.81640625" style="180" customWidth="1"/>
    <col min="6" max="6" width="16" style="180" hidden="1" customWidth="1"/>
    <col min="7" max="7" width="9.1796875" style="180"/>
    <col min="8" max="9" width="14.81640625" style="180" bestFit="1" customWidth="1"/>
    <col min="10" max="10" width="9.1796875" style="180"/>
    <col min="11" max="11" width="14.81640625" style="180" bestFit="1" customWidth="1"/>
    <col min="12" max="16384" width="9.1796875" style="180"/>
  </cols>
  <sheetData>
    <row r="1" spans="1:6" ht="17.5">
      <c r="A1" s="214" t="str">
        <f>'[5]3.3'!A1:E1</f>
        <v>CELER MART PVT. LTD.</v>
      </c>
      <c r="B1" s="214"/>
      <c r="C1" s="214"/>
      <c r="D1" s="214"/>
      <c r="E1" s="214"/>
      <c r="F1" s="214"/>
    </row>
    <row r="2" spans="1:6" ht="18">
      <c r="B2" s="213"/>
      <c r="C2" s="214"/>
      <c r="D2" s="216"/>
      <c r="E2" s="216"/>
      <c r="F2" s="215"/>
    </row>
    <row r="3" spans="1:6" ht="20" customHeight="1">
      <c r="B3" s="237" t="s">
        <v>337</v>
      </c>
      <c r="C3" s="237"/>
      <c r="D3" s="237"/>
      <c r="E3" s="237"/>
      <c r="F3" s="237"/>
    </row>
    <row r="4" spans="1:6" ht="20" customHeight="1">
      <c r="B4" s="213"/>
      <c r="C4" s="214"/>
      <c r="D4" s="215"/>
      <c r="E4" s="215"/>
      <c r="F4" s="215"/>
    </row>
    <row r="5" spans="1:6" ht="20" customHeight="1" thickBot="1">
      <c r="A5" s="218"/>
      <c r="B5" s="218"/>
      <c r="C5" s="219"/>
      <c r="D5" s="219"/>
      <c r="E5" s="219"/>
      <c r="F5" s="182" t="s">
        <v>276</v>
      </c>
    </row>
    <row r="6" spans="1:6" ht="20" customHeight="1"/>
    <row r="7" spans="1:6" ht="20" customHeight="1">
      <c r="A7" s="183">
        <v>3.7</v>
      </c>
      <c r="B7" s="95" t="s">
        <v>114</v>
      </c>
      <c r="C7" s="89"/>
      <c r="D7" s="88"/>
      <c r="E7" s="88"/>
      <c r="F7" s="88"/>
    </row>
    <row r="8" spans="1:6" ht="20" customHeight="1">
      <c r="A8" s="183"/>
      <c r="B8" s="95"/>
      <c r="C8" s="89"/>
      <c r="D8" s="250" t="s">
        <v>584</v>
      </c>
      <c r="E8" s="250" t="str">
        <f>'3.4 to 3.6 ao 10.18'!D6</f>
        <v xml:space="preserve">As at </v>
      </c>
      <c r="F8" s="250" t="str">
        <f>'3.4 to 3.6 ao 10.18'!E6</f>
        <v xml:space="preserve">As at </v>
      </c>
    </row>
    <row r="9" spans="1:6" ht="20" customHeight="1" thickBot="1">
      <c r="A9" s="183"/>
      <c r="B9" s="95"/>
      <c r="C9" s="89"/>
      <c r="D9" s="120" t="s">
        <v>610</v>
      </c>
      <c r="E9" s="120" t="str">
        <f>'3.4 to 3.6 ao 10.18'!C7</f>
        <v>18 Magh 2082</v>
      </c>
      <c r="F9" s="120" t="str">
        <f>'3.4 to 3.6 ao 10.18'!D7</f>
        <v>32 Ashadh 2082</v>
      </c>
    </row>
    <row r="10" spans="1:6" ht="20" customHeight="1">
      <c r="A10" s="183"/>
      <c r="B10" s="95"/>
      <c r="C10" s="89"/>
      <c r="D10" s="88"/>
      <c r="E10" s="88"/>
      <c r="F10" s="88"/>
    </row>
    <row r="11" spans="1:6" ht="20" customHeight="1">
      <c r="A11" s="179"/>
      <c r="B11" s="95" t="s">
        <v>472</v>
      </c>
      <c r="C11" s="192"/>
      <c r="D11" s="192"/>
      <c r="E11" s="192"/>
      <c r="F11" s="192"/>
    </row>
    <row r="12" spans="1:6" ht="20" customHeight="1">
      <c r="A12" s="179"/>
      <c r="B12" s="88" t="s">
        <v>473</v>
      </c>
      <c r="C12" s="89"/>
      <c r="D12" s="224"/>
      <c r="E12" s="224">
        <v>26000000</v>
      </c>
      <c r="F12" s="199">
        <f>E12</f>
        <v>26000000</v>
      </c>
    </row>
    <row r="13" spans="1:6" ht="20" customHeight="1">
      <c r="A13" s="179"/>
      <c r="B13" s="95"/>
      <c r="C13" s="96"/>
      <c r="D13" s="96"/>
      <c r="E13" s="96"/>
      <c r="F13" s="96"/>
    </row>
    <row r="14" spans="1:6" ht="20" customHeight="1">
      <c r="A14" s="179"/>
      <c r="B14" s="95" t="s">
        <v>474</v>
      </c>
      <c r="C14" s="89"/>
      <c r="D14" s="88"/>
      <c r="E14" s="88"/>
      <c r="F14" s="88"/>
    </row>
    <row r="15" spans="1:6" ht="20" customHeight="1">
      <c r="A15" s="179"/>
      <c r="B15" s="204" t="s">
        <v>475</v>
      </c>
      <c r="C15" s="89"/>
      <c r="D15" s="88"/>
      <c r="E15" s="88"/>
      <c r="F15" s="88"/>
    </row>
    <row r="16" spans="1:6" ht="20" customHeight="1">
      <c r="A16" s="179"/>
      <c r="B16" s="95"/>
      <c r="C16" s="192"/>
      <c r="D16" s="251"/>
      <c r="E16" s="251" t="s">
        <v>476</v>
      </c>
      <c r="F16" s="251" t="s">
        <v>476</v>
      </c>
    </row>
    <row r="17" spans="1:6" ht="20" customHeight="1">
      <c r="A17" s="179"/>
      <c r="B17" s="179"/>
      <c r="C17" s="89"/>
      <c r="D17" s="252"/>
      <c r="E17" s="252" t="s">
        <v>477</v>
      </c>
      <c r="F17" s="252" t="s">
        <v>478</v>
      </c>
    </row>
    <row r="18" spans="1:6" ht="20" customHeight="1">
      <c r="A18" s="179"/>
      <c r="B18" s="179"/>
      <c r="C18" s="89"/>
      <c r="D18" s="250" t="s">
        <v>584</v>
      </c>
      <c r="E18" s="250" t="s">
        <v>239</v>
      </c>
      <c r="F18" s="250" t="s">
        <v>239</v>
      </c>
    </row>
    <row r="19" spans="1:6" ht="20" customHeight="1" thickBot="1">
      <c r="A19" s="179"/>
      <c r="B19" s="253"/>
      <c r="C19" s="89"/>
      <c r="D19" s="120" t="s">
        <v>610</v>
      </c>
      <c r="E19" s="120" t="s">
        <v>572</v>
      </c>
      <c r="F19" s="120" t="s">
        <v>241</v>
      </c>
    </row>
    <row r="20" spans="1:6" ht="20" customHeight="1">
      <c r="A20" s="179"/>
      <c r="B20" s="254" t="s">
        <v>479</v>
      </c>
      <c r="C20" s="96"/>
      <c r="D20" s="224"/>
      <c r="E20" s="224"/>
      <c r="F20" s="224"/>
    </row>
    <row r="21" spans="1:6" ht="20" customHeight="1">
      <c r="A21" s="179"/>
      <c r="B21" s="220" t="s">
        <v>12</v>
      </c>
      <c r="C21" s="96"/>
      <c r="D21" s="224"/>
      <c r="E21" s="224"/>
      <c r="F21" s="224">
        <v>3200000</v>
      </c>
    </row>
    <row r="22" spans="1:6" ht="20" customHeight="1">
      <c r="A22" s="179"/>
      <c r="B22" s="220" t="s">
        <v>11</v>
      </c>
      <c r="C22" s="96"/>
      <c r="D22" s="224"/>
      <c r="E22" s="224">
        <f>'TB update upto 10.18'!H10</f>
        <v>890000</v>
      </c>
      <c r="F22" s="224">
        <v>3200000</v>
      </c>
    </row>
    <row r="23" spans="1:6" ht="20" customHeight="1">
      <c r="A23" s="179"/>
      <c r="B23" s="88" t="s">
        <v>119</v>
      </c>
      <c r="C23" s="89"/>
      <c r="D23" s="224"/>
      <c r="E23" s="224"/>
      <c r="F23" s="224">
        <v>200000</v>
      </c>
    </row>
    <row r="24" spans="1:6" ht="20" customHeight="1">
      <c r="A24" s="179"/>
      <c r="B24" s="88" t="s">
        <v>120</v>
      </c>
      <c r="C24" s="89"/>
      <c r="D24" s="224"/>
      <c r="E24" s="224"/>
      <c r="F24" s="224">
        <v>1000000</v>
      </c>
    </row>
    <row r="25" spans="1:6" ht="20" customHeight="1">
      <c r="A25" s="179"/>
      <c r="B25" s="88" t="s">
        <v>480</v>
      </c>
      <c r="C25" s="89"/>
      <c r="D25" s="224"/>
      <c r="E25" s="224"/>
      <c r="F25" s="224">
        <v>5000000</v>
      </c>
    </row>
    <row r="26" spans="1:6" ht="20" customHeight="1">
      <c r="A26" s="179"/>
      <c r="B26" s="46" t="s">
        <v>580</v>
      </c>
      <c r="C26" s="89"/>
      <c r="D26" s="224"/>
      <c r="E26" s="224">
        <f>'TB update upto 10.18'!H15</f>
        <v>5000000</v>
      </c>
      <c r="F26" s="224"/>
    </row>
    <row r="27" spans="1:6" ht="20" customHeight="1">
      <c r="A27" s="179"/>
      <c r="B27" s="46" t="s">
        <v>581</v>
      </c>
      <c r="C27" s="89"/>
      <c r="D27" s="224"/>
      <c r="E27" s="224">
        <f>'TB update upto 10.18'!H16</f>
        <v>2510000</v>
      </c>
      <c r="F27" s="224"/>
    </row>
    <row r="28" spans="1:6" ht="20" customHeight="1">
      <c r="A28" s="179"/>
      <c r="B28" s="46" t="s">
        <v>582</v>
      </c>
      <c r="C28" s="89"/>
      <c r="D28" s="224"/>
      <c r="E28" s="224">
        <f>'TB update upto 10.18'!H17</f>
        <v>1260000</v>
      </c>
      <c r="F28" s="224"/>
    </row>
    <row r="29" spans="1:6" ht="20" customHeight="1">
      <c r="A29" s="179"/>
      <c r="B29" s="46" t="s">
        <v>583</v>
      </c>
      <c r="C29" s="89"/>
      <c r="D29" s="224"/>
      <c r="E29" s="224">
        <f>'TB update upto 10.18'!H18</f>
        <v>630000</v>
      </c>
      <c r="F29" s="224"/>
    </row>
    <row r="30" spans="1:6" ht="20" customHeight="1">
      <c r="A30" s="179"/>
      <c r="B30" s="41" t="s">
        <v>115</v>
      </c>
      <c r="C30" s="89"/>
      <c r="D30" s="224">
        <f>'TB update upto 10.18'!L6</f>
        <v>15000000</v>
      </c>
      <c r="E30" s="224"/>
      <c r="F30" s="224"/>
    </row>
    <row r="31" spans="1:6" ht="20" customHeight="1">
      <c r="A31" s="179"/>
      <c r="B31" s="41" t="s">
        <v>116</v>
      </c>
      <c r="C31" s="89"/>
      <c r="D31" s="224">
        <f>'TB update upto 10.18'!L7</f>
        <v>25000000</v>
      </c>
      <c r="E31" s="224"/>
      <c r="F31" s="224"/>
    </row>
    <row r="32" spans="1:6" ht="20" customHeight="1">
      <c r="A32" s="179"/>
      <c r="B32" s="41" t="s">
        <v>117</v>
      </c>
      <c r="C32" s="89"/>
      <c r="D32" s="224">
        <f>'TB update upto 10.18'!L8</f>
        <v>1500000</v>
      </c>
      <c r="E32" s="224"/>
      <c r="F32" s="224"/>
    </row>
    <row r="33" spans="1:11" ht="20" customHeight="1">
      <c r="A33" s="179"/>
      <c r="B33" s="41" t="s">
        <v>118</v>
      </c>
      <c r="C33" s="89"/>
      <c r="D33" s="224">
        <f>'TB update upto 10.18'!L9</f>
        <v>2500000</v>
      </c>
      <c r="E33" s="224"/>
      <c r="F33" s="224"/>
    </row>
    <row r="34" spans="1:11" ht="20" customHeight="1">
      <c r="A34" s="179"/>
      <c r="B34" s="88"/>
      <c r="C34" s="89"/>
      <c r="D34" s="224"/>
      <c r="E34" s="224"/>
      <c r="F34" s="224"/>
    </row>
    <row r="35" spans="1:11" ht="20" customHeight="1" thickBot="1">
      <c r="A35" s="179"/>
      <c r="B35" s="255" t="s">
        <v>109</v>
      </c>
      <c r="C35" s="89"/>
      <c r="D35" s="227">
        <f>SUM(D30:D34)</f>
        <v>44000000</v>
      </c>
      <c r="E35" s="227">
        <f>SUM(E21:E34)</f>
        <v>10290000</v>
      </c>
      <c r="F35" s="227">
        <f>SUM(F21:F34)</f>
        <v>12600000</v>
      </c>
    </row>
    <row r="36" spans="1:11" ht="20" customHeight="1" thickTop="1">
      <c r="A36" s="179"/>
      <c r="C36" s="89"/>
      <c r="D36" s="250" t="s">
        <v>584</v>
      </c>
      <c r="E36" s="247" t="s">
        <v>239</v>
      </c>
      <c r="F36" s="247" t="s">
        <v>239</v>
      </c>
    </row>
    <row r="37" spans="1:11" ht="20" customHeight="1" thickBot="1">
      <c r="A37" s="179"/>
      <c r="B37" s="254" t="s">
        <v>200</v>
      </c>
      <c r="C37" s="89"/>
      <c r="D37" s="120" t="s">
        <v>610</v>
      </c>
      <c r="E37" s="120" t="s">
        <v>572</v>
      </c>
      <c r="F37" s="247" t="s">
        <v>241</v>
      </c>
    </row>
    <row r="38" spans="1:11" ht="20" customHeight="1">
      <c r="A38" s="179"/>
      <c r="B38" s="41" t="s">
        <v>481</v>
      </c>
      <c r="C38" s="89"/>
      <c r="D38" s="224">
        <f>'TB update upto 10.18'!L20</f>
        <v>0</v>
      </c>
      <c r="E38" s="224">
        <f>'TB update upto 10.18'!H20</f>
        <v>20000000</v>
      </c>
      <c r="F38" s="224"/>
    </row>
    <row r="39" spans="1:11" ht="20" customHeight="1">
      <c r="A39" s="179"/>
      <c r="B39" s="47" t="s">
        <v>223</v>
      </c>
      <c r="C39" s="89"/>
      <c r="D39" s="224">
        <f>'TB update upto 10.18'!L21</f>
        <v>0</v>
      </c>
      <c r="E39" s="224">
        <f>'TB update upto 10.18'!H21</f>
        <v>2000000</v>
      </c>
      <c r="F39" s="224"/>
    </row>
    <row r="40" spans="1:11" ht="20" customHeight="1">
      <c r="A40" s="179"/>
      <c r="B40" s="47" t="s">
        <v>482</v>
      </c>
      <c r="C40" s="89"/>
      <c r="D40" s="337">
        <f>'TB update upto 10.18'!L22</f>
        <v>500000</v>
      </c>
      <c r="E40" s="224">
        <f>'TB update upto 10.18'!H22</f>
        <v>500000</v>
      </c>
      <c r="F40" s="224"/>
    </row>
    <row r="41" spans="1:11" ht="20" customHeight="1">
      <c r="A41" s="179"/>
      <c r="B41" s="88" t="s">
        <v>120</v>
      </c>
      <c r="C41" s="89"/>
      <c r="D41" s="224"/>
      <c r="E41" s="224"/>
      <c r="F41" s="224"/>
    </row>
    <row r="42" spans="1:11" ht="20" customHeight="1" thickBot="1">
      <c r="A42" s="179"/>
      <c r="B42" s="95" t="s">
        <v>109</v>
      </c>
      <c r="C42" s="96"/>
      <c r="D42" s="227">
        <f>SUM(D38:D41)</f>
        <v>500000</v>
      </c>
      <c r="E42" s="227">
        <f>SUM(E38:E41)</f>
        <v>22500000</v>
      </c>
      <c r="F42" s="227">
        <f>SUM(F38:F41)</f>
        <v>0</v>
      </c>
    </row>
    <row r="43" spans="1:11" ht="20" customHeight="1" thickTop="1">
      <c r="A43" s="179"/>
      <c r="B43" s="253"/>
      <c r="C43" s="96"/>
      <c r="D43" s="95"/>
      <c r="E43" s="95"/>
      <c r="F43" s="95"/>
    </row>
    <row r="44" spans="1:11" ht="20" customHeight="1">
      <c r="A44" s="183">
        <v>3.8</v>
      </c>
      <c r="B44" s="95" t="s">
        <v>261</v>
      </c>
      <c r="C44" s="89"/>
      <c r="D44" s="88"/>
      <c r="E44" s="88"/>
      <c r="F44" s="88"/>
    </row>
    <row r="45" spans="1:11" ht="20" customHeight="1">
      <c r="A45" s="179"/>
      <c r="B45" s="88"/>
      <c r="C45" s="88"/>
      <c r="D45" s="88"/>
      <c r="E45" s="88"/>
      <c r="F45" s="88"/>
    </row>
    <row r="46" spans="1:11" ht="20" customHeight="1">
      <c r="A46" s="179"/>
      <c r="B46" s="204"/>
      <c r="C46" s="89"/>
      <c r="D46" s="250" t="s">
        <v>584</v>
      </c>
      <c r="E46" s="250" t="str">
        <f>E8</f>
        <v xml:space="preserve">As at </v>
      </c>
      <c r="F46" s="250" t="str">
        <f>F8</f>
        <v xml:space="preserve">As at </v>
      </c>
    </row>
    <row r="47" spans="1:11" ht="20" customHeight="1" thickBot="1">
      <c r="A47" s="179"/>
      <c r="B47" s="179"/>
      <c r="C47" s="179"/>
      <c r="D47" s="120" t="s">
        <v>610</v>
      </c>
      <c r="E47" s="256" t="str">
        <f>'SOFP  10.18'!C6</f>
        <v>18 Magh 2082</v>
      </c>
      <c r="F47" s="256" t="str">
        <f>'SOFP  10.18'!D6</f>
        <v>32 Ashadh 2082</v>
      </c>
      <c r="H47" s="180" t="s">
        <v>483</v>
      </c>
      <c r="K47" s="180" t="s">
        <v>484</v>
      </c>
    </row>
    <row r="48" spans="1:11" ht="20" customHeight="1">
      <c r="A48" s="179"/>
      <c r="B48" s="179"/>
      <c r="C48" s="179"/>
      <c r="D48" s="179"/>
      <c r="E48" s="179"/>
      <c r="F48" s="179"/>
    </row>
    <row r="49" spans="1:11" ht="20" customHeight="1">
      <c r="A49" s="179"/>
      <c r="B49" s="179" t="s">
        <v>485</v>
      </c>
      <c r="C49" s="179"/>
      <c r="D49" s="234">
        <f>+E51</f>
        <v>-538061.25</v>
      </c>
      <c r="E49" s="234">
        <f>+F51</f>
        <v>-373576</v>
      </c>
      <c r="F49" s="234">
        <v>-196480</v>
      </c>
      <c r="H49" s="257">
        <f>+F49</f>
        <v>-196480</v>
      </c>
      <c r="K49" s="257">
        <f>+F49</f>
        <v>-196480</v>
      </c>
    </row>
    <row r="50" spans="1:11" ht="20" customHeight="1">
      <c r="A50" s="179"/>
      <c r="B50" s="179" t="s">
        <v>486</v>
      </c>
      <c r="C50" s="179"/>
      <c r="D50" s="234">
        <f>'SOI 03.32'!D23</f>
        <v>-33900</v>
      </c>
      <c r="E50" s="234">
        <f>'SOI 10.18'!C23</f>
        <v>-164485.25</v>
      </c>
      <c r="F50" s="234">
        <f>'SOI 10.18'!D23</f>
        <v>-177096</v>
      </c>
      <c r="H50" s="258">
        <v>-2368782.9299999997</v>
      </c>
      <c r="K50" s="258">
        <f>+'SOI 10.18'!E19</f>
        <v>-2368782.9299999997</v>
      </c>
    </row>
    <row r="51" spans="1:11" ht="20" customHeight="1" thickBot="1">
      <c r="A51" s="179"/>
      <c r="B51" s="259" t="s">
        <v>487</v>
      </c>
      <c r="C51" s="260"/>
      <c r="D51" s="261">
        <f>SUM(D49:D50)</f>
        <v>-571961.25</v>
      </c>
      <c r="E51" s="261">
        <f>SUM(E49:E50)</f>
        <v>-538061.25</v>
      </c>
      <c r="F51" s="261">
        <f>SUM(F49:F50)</f>
        <v>-373576</v>
      </c>
      <c r="H51" s="258">
        <f>SUM(H49:H50)</f>
        <v>-2565262.9299999997</v>
      </c>
      <c r="I51" s="180" t="s">
        <v>488</v>
      </c>
      <c r="K51" s="262">
        <f>+K49+K50</f>
        <v>-2565262.9299999997</v>
      </c>
    </row>
    <row r="52" spans="1:11" ht="20" customHeight="1" thickTop="1">
      <c r="A52" s="179"/>
      <c r="B52" s="179"/>
      <c r="C52" s="179"/>
      <c r="D52" s="234"/>
      <c r="E52" s="234"/>
      <c r="F52" s="179"/>
      <c r="H52" s="258" t="e">
        <f>+#REF!+#REF!</f>
        <v>#REF!</v>
      </c>
      <c r="I52" s="180" t="s">
        <v>252</v>
      </c>
    </row>
    <row r="53" spans="1:11" ht="20" customHeight="1">
      <c r="F53" s="257">
        <f>+F51-H51</f>
        <v>2191686.9299999997</v>
      </c>
      <c r="H53" s="262" t="e">
        <f>+H51+H52</f>
        <v>#REF!</v>
      </c>
    </row>
    <row r="54" spans="1:11" ht="20" customHeight="1"/>
    <row r="55" spans="1:11" ht="20" customHeight="1"/>
    <row r="56" spans="1:11" ht="20" customHeight="1"/>
    <row r="57" spans="1:11" ht="20" customHeight="1"/>
    <row r="58" spans="1:11" ht="20" customHeight="1"/>
    <row r="59" spans="1:11" ht="20" customHeight="1"/>
    <row r="60" spans="1:11" ht="20" customHeight="1"/>
    <row r="61" spans="1:11" ht="20" customHeight="1"/>
    <row r="62" spans="1:11" ht="20" customHeight="1"/>
  </sheetData>
  <pageMargins left="0.7" right="0.7" top="0.75" bottom="0.75" header="0.3" footer="0.3"/>
  <pageSetup scale="85" orientation="portrait" r:id="rId1"/>
  <rowBreaks count="1" manualBreakCount="1">
    <brk id="43" max="5"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F73"/>
  <sheetViews>
    <sheetView showGridLines="0" view="pageBreakPreview" topLeftCell="A22" zoomScaleNormal="100" zoomScaleSheetLayoutView="110" workbookViewId="0">
      <selection activeCell="C36" sqref="C36"/>
    </sheetView>
  </sheetViews>
  <sheetFormatPr defaultColWidth="9.1796875" defaultRowHeight="13.5"/>
  <cols>
    <col min="1" max="1" width="4.453125" style="180" customWidth="1"/>
    <col min="2" max="2" width="46.36328125" style="180" customWidth="1"/>
    <col min="3" max="3" width="13.453125" style="180" customWidth="1"/>
    <col min="4" max="4" width="16" style="340" customWidth="1"/>
    <col min="5" max="5" width="16.453125" style="180" hidden="1" customWidth="1"/>
    <col min="6" max="6" width="16.1796875" style="180" hidden="1" customWidth="1"/>
    <col min="7" max="16384" width="9.1796875" style="180"/>
  </cols>
  <sheetData>
    <row r="1" spans="1:6" ht="17.5">
      <c r="A1" s="327" t="str">
        <f>'SOFP  10.18'!A1</f>
        <v>Magic Arun Hydropower Private Limitd</v>
      </c>
      <c r="B1" s="327"/>
      <c r="C1" s="327"/>
      <c r="D1" s="327"/>
      <c r="E1" s="327"/>
      <c r="F1" s="327"/>
    </row>
    <row r="2" spans="1:6" ht="19" customHeight="1">
      <c r="A2" s="328" t="s">
        <v>337</v>
      </c>
      <c r="B2" s="328"/>
      <c r="C2" s="328"/>
      <c r="D2" s="328"/>
      <c r="E2" s="328"/>
      <c r="F2" s="181"/>
    </row>
    <row r="3" spans="1:6" ht="19" customHeight="1">
      <c r="A3" s="213"/>
      <c r="B3" s="214"/>
      <c r="C3" s="214"/>
      <c r="D3" s="217"/>
      <c r="E3" s="215"/>
      <c r="F3" s="215"/>
    </row>
    <row r="4" spans="1:6" ht="19" customHeight="1" thickBot="1">
      <c r="A4" s="218"/>
      <c r="B4" s="219"/>
      <c r="C4" s="219"/>
      <c r="D4" s="348" t="s">
        <v>276</v>
      </c>
    </row>
    <row r="5" spans="1:6" ht="19" customHeight="1">
      <c r="A5" s="220"/>
      <c r="B5" s="204"/>
      <c r="C5" s="204"/>
      <c r="D5" s="349"/>
      <c r="E5" s="204"/>
      <c r="F5" s="221"/>
    </row>
    <row r="6" spans="1:6" ht="19" customHeight="1">
      <c r="A6" s="173">
        <v>3.4</v>
      </c>
      <c r="B6" s="95" t="s">
        <v>169</v>
      </c>
      <c r="C6" s="222" t="s">
        <v>584</v>
      </c>
      <c r="D6" s="222" t="str">
        <f>'[5]3.3'!C29</f>
        <v xml:space="preserve">As at </v>
      </c>
      <c r="E6" s="222" t="str">
        <f>'[5]3.3'!D29</f>
        <v xml:space="preserve">As at </v>
      </c>
      <c r="F6" s="222" t="str">
        <f>'[5]3.3'!E29</f>
        <v xml:space="preserve">As at </v>
      </c>
    </row>
    <row r="7" spans="1:6" ht="19" customHeight="1" thickBot="1">
      <c r="A7" s="95"/>
      <c r="B7" s="95"/>
      <c r="C7" s="120" t="s">
        <v>610</v>
      </c>
      <c r="D7" s="343" t="s">
        <v>572</v>
      </c>
      <c r="E7" s="120" t="str">
        <f>'[5]3.3'!D30</f>
        <v>32 Ashadh 2082</v>
      </c>
      <c r="F7" s="120" t="str">
        <f>'[5]3.3'!E30</f>
        <v>1 Shrawan 2081</v>
      </c>
    </row>
    <row r="8" spans="1:6" ht="19" customHeight="1">
      <c r="A8" s="95"/>
      <c r="B8" s="95"/>
      <c r="C8" s="95"/>
      <c r="D8" s="350"/>
      <c r="E8" s="223"/>
      <c r="F8" s="223"/>
    </row>
    <row r="9" spans="1:6" ht="19" customHeight="1">
      <c r="A9" s="95"/>
      <c r="B9" s="196" t="s">
        <v>169</v>
      </c>
      <c r="C9" s="196"/>
      <c r="D9" s="350"/>
      <c r="E9" s="223"/>
      <c r="F9" s="223"/>
    </row>
    <row r="10" spans="1:6" ht="19" customHeight="1">
      <c r="A10" s="88"/>
      <c r="B10" s="88" t="s">
        <v>425</v>
      </c>
      <c r="C10" s="88"/>
      <c r="D10" s="98">
        <v>0</v>
      </c>
      <c r="E10" s="224">
        <v>0</v>
      </c>
      <c r="F10" s="224">
        <v>1000000</v>
      </c>
    </row>
    <row r="11" spans="1:6" ht="19" customHeight="1">
      <c r="A11" s="88"/>
      <c r="B11" s="225" t="s">
        <v>426</v>
      </c>
      <c r="C11" s="225"/>
      <c r="D11" s="98">
        <v>0</v>
      </c>
      <c r="E11" s="224">
        <v>0</v>
      </c>
      <c r="F11" s="224">
        <v>20300000</v>
      </c>
    </row>
    <row r="12" spans="1:6" ht="19" customHeight="1">
      <c r="A12" s="88"/>
      <c r="B12" s="88" t="s">
        <v>427</v>
      </c>
      <c r="C12" s="88"/>
      <c r="D12" s="98">
        <v>0</v>
      </c>
      <c r="E12" s="224">
        <v>0</v>
      </c>
      <c r="F12" s="224">
        <v>488699</v>
      </c>
    </row>
    <row r="13" spans="1:6" ht="19" customHeight="1">
      <c r="A13" s="88"/>
      <c r="B13" s="196" t="s">
        <v>249</v>
      </c>
      <c r="C13" s="196"/>
      <c r="D13" s="98"/>
      <c r="E13" s="224"/>
      <c r="F13" s="224"/>
    </row>
    <row r="14" spans="1:6" ht="19" customHeight="1">
      <c r="A14" s="95"/>
      <c r="B14" s="226" t="s">
        <v>428</v>
      </c>
      <c r="C14" s="310">
        <f>'TB update upto 10.18'!K78</f>
        <v>5000000</v>
      </c>
      <c r="D14" s="317">
        <f>'TB update upto 10.18'!G78</f>
        <v>5000000</v>
      </c>
      <c r="E14" s="224">
        <v>4000000</v>
      </c>
      <c r="F14" s="224"/>
    </row>
    <row r="15" spans="1:6" ht="19" customHeight="1">
      <c r="A15" s="95"/>
      <c r="B15" s="226" t="s">
        <v>429</v>
      </c>
      <c r="C15" s="224">
        <v>0</v>
      </c>
      <c r="D15" s="98">
        <v>0</v>
      </c>
      <c r="E15" s="224">
        <v>3000000</v>
      </c>
      <c r="F15" s="224"/>
    </row>
    <row r="16" spans="1:6" ht="19" customHeight="1">
      <c r="A16" s="95"/>
      <c r="B16" s="226" t="s">
        <v>430</v>
      </c>
      <c r="C16" s="307">
        <f>'TB update upto 10.18'!K94</f>
        <v>254500</v>
      </c>
      <c r="D16" s="98">
        <f>'TB update upto 10.18'!G94</f>
        <v>250000</v>
      </c>
      <c r="E16" s="224">
        <v>250000</v>
      </c>
      <c r="F16" s="224"/>
    </row>
    <row r="17" spans="1:6" ht="19" customHeight="1">
      <c r="A17" s="95"/>
      <c r="B17" s="226" t="s">
        <v>431</v>
      </c>
      <c r="C17" s="335">
        <f>'TB update upto 10.18'!K80+'TB update upto 10.18'!K10</f>
        <v>4136712</v>
      </c>
      <c r="D17" s="98">
        <f>'TB update upto 10.18'!G80</f>
        <v>5563462</v>
      </c>
      <c r="E17" s="224">
        <v>5563462</v>
      </c>
      <c r="F17" s="224"/>
    </row>
    <row r="18" spans="1:6" ht="19" customHeight="1">
      <c r="A18" s="95"/>
      <c r="B18" s="226" t="s">
        <v>432</v>
      </c>
      <c r="C18" s="307">
        <f>'TB update upto 10.18'!K93</f>
        <v>3900000</v>
      </c>
      <c r="D18" s="98">
        <f>'TB update upto 10.18'!G93</f>
        <v>2900000</v>
      </c>
      <c r="E18" s="224">
        <v>2200000</v>
      </c>
      <c r="F18" s="98">
        <v>0</v>
      </c>
    </row>
    <row r="19" spans="1:6" ht="19" customHeight="1">
      <c r="A19" s="95"/>
      <c r="B19" s="226" t="s">
        <v>433</v>
      </c>
      <c r="C19" s="307">
        <f>'TB update upto 10.18'!K84</f>
        <v>0</v>
      </c>
      <c r="D19" s="98">
        <f>'TB update upto 10.18'!G84</f>
        <v>260000</v>
      </c>
      <c r="E19" s="224"/>
      <c r="F19" s="98"/>
    </row>
    <row r="20" spans="1:6" ht="19" customHeight="1">
      <c r="A20" s="95"/>
      <c r="B20" s="226" t="s">
        <v>575</v>
      </c>
      <c r="C20" s="307">
        <f>'TB update upto 10.18'!K96</f>
        <v>0</v>
      </c>
      <c r="D20" s="98">
        <f>'TB update upto 10.18'!G96</f>
        <v>75000</v>
      </c>
      <c r="E20" s="224"/>
      <c r="F20" s="98"/>
    </row>
    <row r="21" spans="1:6" ht="19" customHeight="1">
      <c r="A21" s="95"/>
      <c r="B21" s="226" t="s">
        <v>249</v>
      </c>
      <c r="C21" s="307">
        <f>'TB update upto 10.18'!K95+'TB update upto 10.18'!K45</f>
        <v>2210</v>
      </c>
      <c r="D21" s="98">
        <f>'TB update upto 10.18'!G95+'TB update upto 10.18'!G45</f>
        <v>133525</v>
      </c>
      <c r="E21" s="224"/>
      <c r="F21" s="98"/>
    </row>
    <row r="22" spans="1:6" ht="19" customHeight="1">
      <c r="A22" s="95"/>
      <c r="B22" s="226" t="s">
        <v>576</v>
      </c>
      <c r="C22" s="307">
        <f>'TB update upto 10.18'!K92</f>
        <v>529624.5</v>
      </c>
      <c r="D22" s="98">
        <f>'TB update upto 10.18'!G92</f>
        <v>529624.5</v>
      </c>
      <c r="E22" s="224"/>
      <c r="F22" s="98"/>
    </row>
    <row r="23" spans="1:6" ht="19" customHeight="1">
      <c r="A23" s="95"/>
      <c r="B23" s="226" t="s">
        <v>577</v>
      </c>
      <c r="C23" s="307">
        <f>'TB update upto 10.18'!K50</f>
        <v>0</v>
      </c>
      <c r="D23" s="98">
        <f>'TB update upto 10.18'!G50</f>
        <v>5000000</v>
      </c>
      <c r="E23" s="224"/>
      <c r="F23" s="98"/>
    </row>
    <row r="24" spans="1:6" ht="19" customHeight="1">
      <c r="A24" s="95"/>
      <c r="B24" s="226" t="s">
        <v>578</v>
      </c>
      <c r="C24" s="307">
        <f>'TB update upto 10.18'!K79</f>
        <v>147650</v>
      </c>
      <c r="D24" s="98">
        <f>'TB update upto 10.18'!G79</f>
        <v>500000</v>
      </c>
      <c r="E24" s="224"/>
      <c r="F24" s="98"/>
    </row>
    <row r="25" spans="1:6" ht="19" customHeight="1">
      <c r="A25" s="95"/>
      <c r="B25" s="226" t="s">
        <v>579</v>
      </c>
      <c r="C25" s="307">
        <f>'TB update upto 10.18'!K90</f>
        <v>0</v>
      </c>
      <c r="D25" s="98">
        <f>'TB update upto 10.18'!G90</f>
        <v>500000</v>
      </c>
      <c r="E25" s="224"/>
      <c r="F25" s="98"/>
    </row>
    <row r="26" spans="1:6" s="333" customFormat="1" ht="19" customHeight="1">
      <c r="A26" s="332"/>
      <c r="B26" s="226" t="s">
        <v>142</v>
      </c>
      <c r="C26" s="335">
        <f>'TB update upto 10.18'!K43</f>
        <v>500000</v>
      </c>
      <c r="D26" s="98"/>
      <c r="E26" s="224"/>
      <c r="F26" s="98"/>
    </row>
    <row r="27" spans="1:6" s="333" customFormat="1" ht="19" customHeight="1">
      <c r="A27" s="332"/>
      <c r="B27" s="226" t="s">
        <v>600</v>
      </c>
      <c r="C27" s="335">
        <f>'TB update upto 10.18'!K81</f>
        <v>1800000</v>
      </c>
      <c r="D27" s="351">
        <f>'TB update upto 10.18'!G81</f>
        <v>0</v>
      </c>
      <c r="E27" s="224"/>
      <c r="F27" s="98"/>
    </row>
    <row r="28" spans="1:6" s="333" customFormat="1" ht="19" customHeight="1">
      <c r="A28" s="332"/>
      <c r="B28" s="226" t="s">
        <v>601</v>
      </c>
      <c r="C28" s="335">
        <f>'TB update upto 10.18'!K82</f>
        <v>2000000</v>
      </c>
      <c r="D28" s="352">
        <v>0</v>
      </c>
      <c r="E28" s="224"/>
      <c r="F28" s="98"/>
    </row>
    <row r="29" spans="1:6" s="333" customFormat="1" ht="19" customHeight="1">
      <c r="A29" s="332"/>
      <c r="B29" s="226" t="s">
        <v>225</v>
      </c>
      <c r="C29" s="335">
        <f>'TB update upto 10.18'!K83</f>
        <v>6500000</v>
      </c>
      <c r="D29" s="351">
        <f>'TB update upto 10.18'!G83</f>
        <v>0</v>
      </c>
      <c r="E29" s="224"/>
      <c r="F29" s="98"/>
    </row>
    <row r="30" spans="1:6" s="333" customFormat="1" ht="19" customHeight="1">
      <c r="A30" s="332"/>
      <c r="B30" s="226"/>
      <c r="C30" s="307"/>
      <c r="D30" s="353"/>
      <c r="E30" s="224"/>
      <c r="F30" s="98"/>
    </row>
    <row r="31" spans="1:6" ht="19" customHeight="1">
      <c r="A31" s="95"/>
      <c r="B31" s="196" t="s">
        <v>434</v>
      </c>
      <c r="C31" s="224"/>
      <c r="E31" s="224"/>
      <c r="F31" s="98"/>
    </row>
    <row r="32" spans="1:6" ht="19" customHeight="1">
      <c r="A32" s="95"/>
      <c r="B32" s="88" t="s">
        <v>181</v>
      </c>
      <c r="C32" s="311">
        <f>'TB update upto 10.18'!K100</f>
        <v>298500</v>
      </c>
      <c r="D32" s="352">
        <f>'TB update upto 10.18'!G100</f>
        <v>298500</v>
      </c>
      <c r="E32" s="199">
        <v>298500</v>
      </c>
      <c r="F32" s="199">
        <v>0</v>
      </c>
    </row>
    <row r="33" spans="1:6" ht="19" customHeight="1" thickBot="1">
      <c r="A33" s="95"/>
      <c r="B33" s="95"/>
      <c r="C33" s="227">
        <f>+C12+SUM(C14:C32)</f>
        <v>25069196.5</v>
      </c>
      <c r="D33" s="195">
        <f>+D12+SUM(D14:D32)</f>
        <v>21010111.5</v>
      </c>
      <c r="E33" s="227">
        <f>SUM(E10:E32)</f>
        <v>15311962</v>
      </c>
      <c r="F33" s="227">
        <f>SUM(F10:F18)</f>
        <v>21788699</v>
      </c>
    </row>
    <row r="34" spans="1:6" ht="19" customHeight="1" thickTop="1">
      <c r="A34" s="95"/>
      <c r="B34" s="95"/>
      <c r="C34" s="95"/>
      <c r="D34" s="344"/>
      <c r="E34" s="96"/>
      <c r="F34" s="96"/>
    </row>
    <row r="35" spans="1:6" ht="19" customHeight="1" thickBot="1">
      <c r="A35" s="95"/>
      <c r="B35" s="95" t="s">
        <v>435</v>
      </c>
      <c r="C35" s="249">
        <v>0</v>
      </c>
      <c r="D35" s="161">
        <v>0</v>
      </c>
      <c r="E35" s="162">
        <v>0</v>
      </c>
      <c r="F35" s="162">
        <v>0</v>
      </c>
    </row>
    <row r="36" spans="1:6" ht="19" customHeight="1" thickBot="1">
      <c r="A36" s="95"/>
      <c r="B36" s="95" t="s">
        <v>436</v>
      </c>
      <c r="C36" s="228">
        <f>C33</f>
        <v>25069196.5</v>
      </c>
      <c r="D36" s="354">
        <f>D33</f>
        <v>21010111.5</v>
      </c>
      <c r="E36" s="228">
        <f>E33</f>
        <v>15311962</v>
      </c>
      <c r="F36" s="228">
        <f>F33</f>
        <v>21788699</v>
      </c>
    </row>
    <row r="37" spans="1:6" ht="19" customHeight="1">
      <c r="A37" s="95"/>
      <c r="B37" s="95"/>
      <c r="C37" s="95"/>
      <c r="D37" s="355"/>
      <c r="E37" s="114"/>
      <c r="F37" s="114"/>
    </row>
    <row r="38" spans="1:6" ht="19" hidden="1" customHeight="1">
      <c r="A38" s="88"/>
      <c r="B38" s="95" t="s">
        <v>437</v>
      </c>
      <c r="C38" s="95"/>
      <c r="D38" s="341"/>
      <c r="E38" s="229" t="s">
        <v>438</v>
      </c>
      <c r="F38" s="229" t="s">
        <v>438</v>
      </c>
    </row>
    <row r="39" spans="1:6" ht="19" hidden="1" customHeight="1" thickBot="1">
      <c r="A39" s="95"/>
      <c r="B39" s="95"/>
      <c r="C39" s="95"/>
      <c r="D39" s="344"/>
      <c r="E39" s="230" t="s">
        <v>424</v>
      </c>
      <c r="F39" s="230" t="s">
        <v>439</v>
      </c>
    </row>
    <row r="40" spans="1:6" ht="19" hidden="1" customHeight="1">
      <c r="A40" s="88"/>
      <c r="B40" s="95" t="s">
        <v>440</v>
      </c>
      <c r="C40" s="95"/>
      <c r="D40" s="341"/>
      <c r="E40" s="231">
        <v>0</v>
      </c>
      <c r="F40" s="231">
        <v>0</v>
      </c>
    </row>
    <row r="41" spans="1:6" ht="19" hidden="1" customHeight="1">
      <c r="A41" s="88"/>
      <c r="B41" s="88" t="s">
        <v>441</v>
      </c>
      <c r="C41" s="88"/>
      <c r="D41" s="341"/>
      <c r="E41" s="231">
        <v>0</v>
      </c>
      <c r="F41" s="231">
        <v>0</v>
      </c>
    </row>
    <row r="42" spans="1:6" ht="19" hidden="1" customHeight="1">
      <c r="A42" s="88"/>
      <c r="B42" s="88" t="s">
        <v>442</v>
      </c>
      <c r="C42" s="88"/>
      <c r="D42" s="341"/>
      <c r="E42" s="231">
        <v>0</v>
      </c>
      <c r="F42" s="231">
        <v>0</v>
      </c>
    </row>
    <row r="43" spans="1:6" ht="19" hidden="1" customHeight="1">
      <c r="A43" s="88"/>
      <c r="B43" s="88" t="s">
        <v>443</v>
      </c>
      <c r="C43" s="88"/>
      <c r="D43" s="341"/>
      <c r="E43" s="232">
        <v>0</v>
      </c>
      <c r="F43" s="232">
        <v>0</v>
      </c>
    </row>
    <row r="44" spans="1:6" ht="19" hidden="1" customHeight="1">
      <c r="A44" s="88"/>
      <c r="B44" s="88"/>
      <c r="C44" s="88"/>
      <c r="D44" s="341"/>
      <c r="E44" s="89"/>
      <c r="F44" s="89"/>
    </row>
    <row r="45" spans="1:6" ht="19" hidden="1" customHeight="1" thickBot="1">
      <c r="A45" s="95"/>
      <c r="B45" s="95" t="s">
        <v>444</v>
      </c>
      <c r="C45" s="95"/>
      <c r="D45" s="344"/>
      <c r="E45" s="233">
        <f>SUM(E40:E43)</f>
        <v>0</v>
      </c>
      <c r="F45" s="233">
        <f>SUM(F40:F43)</f>
        <v>0</v>
      </c>
    </row>
    <row r="46" spans="1:6" ht="19" hidden="1" customHeight="1" thickTop="1">
      <c r="A46" s="95"/>
      <c r="B46" s="95"/>
      <c r="C46" s="95"/>
      <c r="D46" s="344"/>
      <c r="E46" s="96"/>
      <c r="F46" s="96"/>
    </row>
    <row r="47" spans="1:6" ht="19" customHeight="1">
      <c r="A47" s="173">
        <v>3.5</v>
      </c>
      <c r="B47" s="95" t="s">
        <v>253</v>
      </c>
      <c r="C47" s="95"/>
      <c r="D47" s="344"/>
      <c r="E47" s="96"/>
      <c r="F47" s="96"/>
    </row>
    <row r="48" spans="1:6" ht="19" customHeight="1">
      <c r="A48" s="95"/>
      <c r="B48" s="95"/>
      <c r="C48" s="222" t="str">
        <f>C6</f>
        <v>As at</v>
      </c>
      <c r="D48" s="222" t="str">
        <f>D6</f>
        <v xml:space="preserve">As at </v>
      </c>
      <c r="E48" s="222" t="str">
        <f>E6</f>
        <v xml:space="preserve">As at </v>
      </c>
      <c r="F48" s="222" t="str">
        <f>F6</f>
        <v xml:space="preserve">As at </v>
      </c>
    </row>
    <row r="49" spans="1:6" ht="19" customHeight="1" thickBot="1">
      <c r="A49" s="179"/>
      <c r="B49" s="179"/>
      <c r="C49" s="120" t="str">
        <f>C7</f>
        <v>15 Asadh 2083</v>
      </c>
      <c r="D49" s="343" t="str">
        <f>D7</f>
        <v>10 Magh 2082</v>
      </c>
      <c r="E49" s="120" t="str">
        <f>E7</f>
        <v>32 Ashadh 2082</v>
      </c>
      <c r="F49" s="120" t="str">
        <f>F7</f>
        <v>1 Shrawan 2081</v>
      </c>
    </row>
    <row r="50" spans="1:6" ht="19" customHeight="1">
      <c r="A50" s="95"/>
      <c r="B50" s="95"/>
      <c r="C50" s="95"/>
      <c r="D50" s="344"/>
      <c r="E50" s="96"/>
      <c r="F50" s="96"/>
    </row>
    <row r="51" spans="1:6" ht="19" customHeight="1">
      <c r="A51" s="88"/>
      <c r="B51" s="88" t="s">
        <v>445</v>
      </c>
      <c r="C51" s="171">
        <f>'3.12 to 3.18 ao 10.18'!C28</f>
        <v>0</v>
      </c>
      <c r="D51" s="101">
        <f>'3.12 to 3.18 ao 10.18'!D28</f>
        <v>0</v>
      </c>
      <c r="E51" s="171">
        <v>0</v>
      </c>
      <c r="F51" s="171">
        <v>0</v>
      </c>
    </row>
    <row r="52" spans="1:6" ht="19" customHeight="1">
      <c r="A52" s="88"/>
      <c r="B52" s="88"/>
      <c r="C52" s="88"/>
      <c r="D52" s="98"/>
      <c r="E52" s="224"/>
      <c r="F52" s="224"/>
    </row>
    <row r="53" spans="1:6" ht="19" customHeight="1" thickBot="1">
      <c r="A53" s="95"/>
      <c r="B53" s="95"/>
      <c r="C53" s="95"/>
      <c r="D53" s="195">
        <f t="shared" ref="D53:E53" si="0">D51</f>
        <v>0</v>
      </c>
      <c r="E53" s="227">
        <f t="shared" si="0"/>
        <v>0</v>
      </c>
      <c r="F53" s="195">
        <f>F51</f>
        <v>0</v>
      </c>
    </row>
    <row r="54" spans="1:6" ht="19" customHeight="1" thickTop="1">
      <c r="A54" s="173">
        <v>3.6</v>
      </c>
      <c r="B54" s="95" t="s">
        <v>446</v>
      </c>
      <c r="C54" s="95"/>
      <c r="D54" s="222"/>
      <c r="E54" s="89"/>
      <c r="F54" s="89"/>
    </row>
    <row r="55" spans="1:6" ht="19" customHeight="1">
      <c r="A55" s="173"/>
      <c r="B55" s="95"/>
      <c r="C55" s="222" t="str">
        <f t="shared" ref="C55" si="1">C48</f>
        <v>As at</v>
      </c>
      <c r="D55" s="222" t="str">
        <f t="shared" ref="D55:F56" si="2">D48</f>
        <v xml:space="preserve">As at </v>
      </c>
      <c r="E55" s="222" t="str">
        <f t="shared" si="2"/>
        <v xml:space="preserve">As at </v>
      </c>
      <c r="F55" s="222" t="str">
        <f t="shared" si="2"/>
        <v xml:space="preserve">As at </v>
      </c>
    </row>
    <row r="56" spans="1:6" ht="19" customHeight="1" thickBot="1">
      <c r="A56" s="173"/>
      <c r="B56" s="95"/>
      <c r="C56" s="120" t="str">
        <f t="shared" ref="C56" si="3">C49</f>
        <v>15 Asadh 2083</v>
      </c>
      <c r="D56" s="343" t="str">
        <f t="shared" si="2"/>
        <v>10 Magh 2082</v>
      </c>
      <c r="E56" s="120" t="str">
        <f t="shared" si="2"/>
        <v>32 Ashadh 2082</v>
      </c>
      <c r="F56" s="120" t="str">
        <f t="shared" si="2"/>
        <v>1 Shrawan 2081</v>
      </c>
    </row>
    <row r="57" spans="1:6" ht="19" customHeight="1">
      <c r="A57" s="88"/>
      <c r="B57" s="95"/>
      <c r="C57" s="95"/>
      <c r="D57" s="222"/>
      <c r="E57" s="96"/>
      <c r="F57" s="96"/>
    </row>
    <row r="58" spans="1:6" ht="19" customHeight="1">
      <c r="A58" s="88"/>
      <c r="B58" s="88" t="s">
        <v>447</v>
      </c>
      <c r="C58" s="88"/>
      <c r="D58" s="98">
        <v>0</v>
      </c>
      <c r="E58" s="224">
        <v>0</v>
      </c>
      <c r="F58" s="224">
        <v>0</v>
      </c>
    </row>
    <row r="59" spans="1:6" ht="19" customHeight="1">
      <c r="A59" s="88"/>
      <c r="B59" s="88" t="s">
        <v>448</v>
      </c>
      <c r="C59" s="307">
        <f>'TB update upto 10.18'!K103</f>
        <v>804</v>
      </c>
      <c r="D59" s="98">
        <f>'TB update upto 10.18'!G103</f>
        <v>804</v>
      </c>
      <c r="E59" s="224">
        <v>40804</v>
      </c>
      <c r="F59" s="224">
        <v>67329</v>
      </c>
    </row>
    <row r="60" spans="1:6" ht="19" customHeight="1">
      <c r="A60" s="88"/>
      <c r="B60" s="88" t="s">
        <v>449</v>
      </c>
      <c r="C60" s="312">
        <f>'TB update upto 10.18'!K102</f>
        <v>1614213.35</v>
      </c>
      <c r="D60" s="101">
        <f>'TB update upto 10.18'!G102</f>
        <v>11833.349999999977</v>
      </c>
      <c r="E60" s="171">
        <v>850393</v>
      </c>
      <c r="F60" s="171">
        <v>0</v>
      </c>
    </row>
    <row r="61" spans="1:6" ht="19" customHeight="1">
      <c r="A61" s="179"/>
      <c r="B61" s="179"/>
      <c r="C61" s="179"/>
      <c r="D61" s="356"/>
      <c r="E61" s="234"/>
      <c r="F61" s="179"/>
    </row>
    <row r="62" spans="1:6" ht="19" customHeight="1" thickBot="1">
      <c r="A62" s="179"/>
      <c r="B62" s="179"/>
      <c r="C62" s="202">
        <f>SUM(C58:C60)</f>
        <v>1615017.35</v>
      </c>
      <c r="D62" s="345">
        <f>SUM(D58:D60)</f>
        <v>12637.349999999977</v>
      </c>
      <c r="E62" s="202">
        <f>SUM(E58:E60)</f>
        <v>891197</v>
      </c>
      <c r="F62" s="202">
        <f>SUM(F58:F60)</f>
        <v>67329</v>
      </c>
    </row>
    <row r="63" spans="1:6" ht="19" customHeight="1" thickTop="1">
      <c r="A63" s="179"/>
      <c r="B63" s="179"/>
      <c r="C63" s="179"/>
      <c r="D63" s="222"/>
      <c r="E63" s="179"/>
      <c r="F63" s="179"/>
    </row>
    <row r="64" spans="1:6" ht="19" customHeight="1">
      <c r="A64" s="173">
        <v>3.7</v>
      </c>
      <c r="B64" s="95" t="s">
        <v>255</v>
      </c>
      <c r="C64" s="95"/>
      <c r="D64" s="222"/>
      <c r="E64" s="96"/>
      <c r="F64" s="96"/>
    </row>
    <row r="65" spans="1:6" ht="19" customHeight="1">
      <c r="A65" s="95"/>
      <c r="B65" s="95"/>
      <c r="C65" s="222" t="str">
        <f t="shared" ref="C65" si="4">C55</f>
        <v>As at</v>
      </c>
      <c r="D65" s="222" t="str">
        <f t="shared" ref="D65:F66" si="5">D55</f>
        <v xml:space="preserve">As at </v>
      </c>
      <c r="E65" s="222" t="str">
        <f t="shared" si="5"/>
        <v xml:space="preserve">As at </v>
      </c>
      <c r="F65" s="222" t="str">
        <f t="shared" si="5"/>
        <v xml:space="preserve">As at </v>
      </c>
    </row>
    <row r="66" spans="1:6" ht="19" customHeight="1">
      <c r="A66" s="179"/>
      <c r="B66" s="179"/>
      <c r="C66" s="235" t="str">
        <f t="shared" ref="C66" si="6">C56</f>
        <v>15 Asadh 2083</v>
      </c>
      <c r="D66" s="235" t="str">
        <f t="shared" si="5"/>
        <v>10 Magh 2082</v>
      </c>
      <c r="E66" s="235" t="str">
        <f t="shared" si="5"/>
        <v>32 Ashadh 2082</v>
      </c>
      <c r="F66" s="235" t="str">
        <f t="shared" si="5"/>
        <v>1 Shrawan 2081</v>
      </c>
    </row>
    <row r="67" spans="1:6" ht="19" customHeight="1">
      <c r="A67" s="95"/>
      <c r="B67" s="95"/>
      <c r="C67" s="95"/>
      <c r="D67" s="222"/>
      <c r="E67" s="96"/>
      <c r="F67" s="96"/>
    </row>
    <row r="68" spans="1:6" ht="19" customHeight="1">
      <c r="A68" s="95"/>
      <c r="B68" s="226" t="s">
        <v>450</v>
      </c>
      <c r="C68" s="226"/>
      <c r="D68" s="98"/>
      <c r="E68" s="224">
        <v>0</v>
      </c>
      <c r="F68" s="224"/>
    </row>
    <row r="69" spans="1:6" ht="19" customHeight="1">
      <c r="A69" s="95"/>
      <c r="B69" s="226" t="s">
        <v>451</v>
      </c>
      <c r="C69" s="226"/>
      <c r="D69" s="98"/>
      <c r="E69" s="224">
        <v>0</v>
      </c>
      <c r="F69" s="224"/>
    </row>
    <row r="70" spans="1:6" ht="19" customHeight="1">
      <c r="A70" s="95"/>
      <c r="B70" s="226" t="s">
        <v>452</v>
      </c>
      <c r="C70" s="226"/>
      <c r="D70" s="98">
        <v>0</v>
      </c>
      <c r="E70" s="224">
        <v>0</v>
      </c>
      <c r="F70" s="224">
        <v>0</v>
      </c>
    </row>
    <row r="71" spans="1:6" ht="19" customHeight="1">
      <c r="A71" s="88"/>
      <c r="B71" s="88"/>
      <c r="C71" s="200"/>
      <c r="D71" s="357"/>
      <c r="E71" s="200"/>
      <c r="F71" s="171"/>
    </row>
    <row r="72" spans="1:6" ht="19" customHeight="1" thickBot="1">
      <c r="A72" s="95"/>
      <c r="B72" s="95"/>
      <c r="C72" s="202">
        <f>+SUM(C68:C71)</f>
        <v>0</v>
      </c>
      <c r="D72" s="345">
        <f>+SUM(D68:D71)</f>
        <v>0</v>
      </c>
      <c r="E72" s="202">
        <f t="shared" ref="E72:F72" si="7">+SUM(E68:E71)</f>
        <v>0</v>
      </c>
      <c r="F72" s="236">
        <f t="shared" si="7"/>
        <v>0</v>
      </c>
    </row>
    <row r="73" spans="1:6" ht="19" customHeight="1" thickTop="1"/>
  </sheetData>
  <mergeCells count="2">
    <mergeCell ref="A1:F1"/>
    <mergeCell ref="A2:E2"/>
  </mergeCells>
  <pageMargins left="0.7" right="0.7" top="0.75" bottom="0.75" header="0.3" footer="0.3"/>
  <pageSetup scale="105" orientation="portrait" r:id="rId1"/>
  <rowBreaks count="1" manualBreakCount="1">
    <brk id="53" max="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I87"/>
  <sheetViews>
    <sheetView showGridLines="0" view="pageBreakPreview" topLeftCell="A48" zoomScaleNormal="100" zoomScaleSheetLayoutView="100" workbookViewId="0">
      <selection activeCell="D68" sqref="D68"/>
    </sheetView>
  </sheetViews>
  <sheetFormatPr defaultColWidth="9.1796875" defaultRowHeight="13.5"/>
  <cols>
    <col min="1" max="1" width="7.6328125" style="180" customWidth="1"/>
    <col min="2" max="2" width="44.453125" style="180" bestFit="1" customWidth="1"/>
    <col min="3" max="3" width="6.453125" style="180" customWidth="1"/>
    <col min="4" max="4" width="22.90625" style="180" customWidth="1"/>
    <col min="5" max="5" width="22.6328125" style="180" customWidth="1"/>
    <col min="6" max="6" width="18.36328125" style="180" hidden="1" customWidth="1"/>
    <col min="7" max="7" width="9.1796875" style="180"/>
    <col min="8" max="8" width="11.1796875" style="180" bestFit="1" customWidth="1"/>
    <col min="9" max="9" width="14.1796875" style="180" bestFit="1" customWidth="1"/>
    <col min="10" max="16384" width="9.1796875" style="180"/>
  </cols>
  <sheetData>
    <row r="1" spans="1:9" ht="17.5">
      <c r="A1" s="327" t="str">
        <f>'[5]3.3'!A1:E1</f>
        <v>CELER MART PVT. LTD.</v>
      </c>
      <c r="B1" s="327"/>
      <c r="C1" s="327"/>
      <c r="D1" s="327"/>
      <c r="E1" s="327"/>
      <c r="F1" s="327"/>
    </row>
    <row r="2" spans="1:9" ht="17.5">
      <c r="C2" s="213"/>
      <c r="D2" s="213"/>
      <c r="E2" s="213"/>
      <c r="F2" s="214"/>
    </row>
    <row r="3" spans="1:9" ht="20" customHeight="1">
      <c r="A3" s="328" t="s">
        <v>337</v>
      </c>
      <c r="B3" s="328"/>
      <c r="C3" s="328"/>
      <c r="D3" s="328"/>
      <c r="E3" s="328"/>
      <c r="F3" s="328"/>
    </row>
    <row r="4" spans="1:9" ht="20" customHeight="1">
      <c r="C4" s="213"/>
      <c r="D4" s="213"/>
      <c r="E4" s="213"/>
      <c r="F4" s="214"/>
    </row>
    <row r="5" spans="1:9" ht="20" customHeight="1" thickBot="1">
      <c r="A5" s="218"/>
      <c r="B5" s="218"/>
      <c r="C5" s="218"/>
      <c r="D5" s="218"/>
      <c r="E5" s="182" t="s">
        <v>276</v>
      </c>
    </row>
    <row r="6" spans="1:9" ht="20" customHeight="1"/>
    <row r="7" spans="1:9" ht="20" customHeight="1">
      <c r="A7" s="183">
        <v>3.12</v>
      </c>
      <c r="B7" s="95" t="s">
        <v>489</v>
      </c>
      <c r="C7" s="89"/>
      <c r="D7" s="89"/>
      <c r="E7" s="89"/>
      <c r="F7" s="89"/>
    </row>
    <row r="8" spans="1:9" ht="20" customHeight="1">
      <c r="A8" s="179"/>
      <c r="B8" s="95"/>
      <c r="C8" s="96"/>
      <c r="D8" s="263" t="s">
        <v>607</v>
      </c>
      <c r="E8" s="263" t="str">
        <f>'SOI 10.18'!C7</f>
        <v>Upto 18 Magh 2082</v>
      </c>
      <c r="F8" s="263" t="str">
        <f>'SOI 10.18'!D7</f>
        <v>FY 2081-82</v>
      </c>
    </row>
    <row r="9" spans="1:9" ht="20" customHeight="1">
      <c r="A9" s="179"/>
      <c r="B9" s="88" t="s">
        <v>490</v>
      </c>
      <c r="C9" s="89"/>
      <c r="D9" s="89"/>
      <c r="E9" s="224">
        <v>0</v>
      </c>
      <c r="F9" s="264">
        <v>0</v>
      </c>
      <c r="H9" s="258">
        <v>79597.179999999993</v>
      </c>
      <c r="I9" s="258">
        <v>1182752.57</v>
      </c>
    </row>
    <row r="10" spans="1:9" ht="20" customHeight="1">
      <c r="A10" s="179"/>
      <c r="B10" s="88" t="s">
        <v>491</v>
      </c>
      <c r="C10" s="89"/>
      <c r="D10" s="264"/>
      <c r="E10" s="264"/>
      <c r="F10" s="265"/>
    </row>
    <row r="11" spans="1:9" ht="20" customHeight="1">
      <c r="A11" s="179"/>
      <c r="B11" s="95"/>
      <c r="C11" s="96"/>
      <c r="D11" s="266"/>
      <c r="E11" s="266"/>
      <c r="F11" s="266"/>
    </row>
    <row r="12" spans="1:9" ht="20" customHeight="1" thickBot="1">
      <c r="A12" s="179"/>
      <c r="B12" s="88"/>
      <c r="C12" s="89"/>
      <c r="D12" s="267"/>
      <c r="E12" s="267">
        <f>SUM(E9:E10)</f>
        <v>0</v>
      </c>
      <c r="F12" s="267">
        <f>SUM(F9:F10)</f>
        <v>0</v>
      </c>
    </row>
    <row r="13" spans="1:9" ht="20" customHeight="1" thickTop="1">
      <c r="A13" s="179"/>
      <c r="B13" s="88"/>
      <c r="C13" s="89"/>
      <c r="D13" s="89"/>
      <c r="E13" s="268"/>
      <c r="F13" s="268"/>
    </row>
    <row r="14" spans="1:9" ht="20" customHeight="1">
      <c r="A14" s="179"/>
      <c r="B14" s="88"/>
      <c r="C14" s="89"/>
      <c r="D14" s="89"/>
      <c r="E14" s="268"/>
      <c r="F14" s="268"/>
    </row>
    <row r="15" spans="1:9" ht="20" customHeight="1">
      <c r="A15" s="183">
        <v>3.13</v>
      </c>
      <c r="B15" s="95" t="s">
        <v>492</v>
      </c>
      <c r="C15" s="89"/>
      <c r="D15" s="89"/>
      <c r="E15" s="89"/>
      <c r="F15" s="89"/>
    </row>
    <row r="16" spans="1:9" ht="20" customHeight="1">
      <c r="A16" s="179"/>
      <c r="B16" s="95"/>
      <c r="C16" s="96"/>
      <c r="D16" s="263" t="str">
        <f>D8</f>
        <v>Upto 15 Asadh 2083</v>
      </c>
      <c r="E16" s="263" t="str">
        <f>E8</f>
        <v>Upto 18 Magh 2082</v>
      </c>
      <c r="F16" s="263" t="str">
        <f>F8</f>
        <v>FY 2081-82</v>
      </c>
    </row>
    <row r="17" spans="1:8" ht="20" customHeight="1">
      <c r="A17" s="179"/>
      <c r="B17" s="88" t="s">
        <v>493</v>
      </c>
      <c r="C17" s="89"/>
      <c r="D17" s="224">
        <v>0</v>
      </c>
      <c r="E17" s="224">
        <v>0</v>
      </c>
      <c r="F17" s="265"/>
    </row>
    <row r="18" spans="1:8" ht="20" customHeight="1">
      <c r="A18" s="179"/>
      <c r="B18" s="88" t="s">
        <v>494</v>
      </c>
      <c r="C18" s="89"/>
      <c r="D18" s="224">
        <v>0</v>
      </c>
      <c r="E18" s="224">
        <v>0</v>
      </c>
      <c r="F18" s="265">
        <v>0</v>
      </c>
    </row>
    <row r="19" spans="1:8" ht="20" customHeight="1">
      <c r="A19" s="179"/>
      <c r="B19" s="88" t="s">
        <v>495</v>
      </c>
      <c r="C19" s="89"/>
      <c r="D19" s="224">
        <v>0</v>
      </c>
      <c r="E19" s="224">
        <v>0</v>
      </c>
      <c r="F19" s="265"/>
    </row>
    <row r="20" spans="1:8" ht="20" customHeight="1">
      <c r="A20" s="179"/>
      <c r="B20" s="95"/>
      <c r="C20" s="96"/>
      <c r="D20" s="266"/>
      <c r="E20" s="266"/>
      <c r="F20" s="266"/>
    </row>
    <row r="21" spans="1:8" ht="20" customHeight="1" thickBot="1">
      <c r="A21" s="179"/>
      <c r="B21" s="88"/>
      <c r="C21" s="89"/>
      <c r="D21" s="267">
        <f>SUM(D17:D19)</f>
        <v>0</v>
      </c>
      <c r="E21" s="267">
        <f>SUM(E17:E19)</f>
        <v>0</v>
      </c>
      <c r="F21" s="267">
        <f>SUM(F17:F19)</f>
        <v>0</v>
      </c>
    </row>
    <row r="22" spans="1:8" ht="20" customHeight="1" thickTop="1">
      <c r="A22" s="179"/>
      <c r="B22" s="88"/>
      <c r="C22" s="89"/>
      <c r="D22" s="89"/>
      <c r="E22" s="268"/>
      <c r="F22" s="268"/>
    </row>
    <row r="23" spans="1:8" ht="20" customHeight="1">
      <c r="A23" s="179"/>
      <c r="B23" s="88"/>
      <c r="C23" s="89"/>
      <c r="D23" s="89"/>
      <c r="E23" s="268"/>
      <c r="F23" s="268"/>
    </row>
    <row r="24" spans="1:8" ht="20" customHeight="1">
      <c r="A24" s="183">
        <v>3.14</v>
      </c>
      <c r="B24" s="95" t="s">
        <v>282</v>
      </c>
      <c r="C24" s="89"/>
      <c r="D24" s="89"/>
      <c r="E24" s="89"/>
      <c r="F24" s="89"/>
    </row>
    <row r="25" spans="1:8" ht="20" customHeight="1">
      <c r="A25" s="179"/>
      <c r="B25" s="95"/>
      <c r="C25" s="96"/>
      <c r="D25" s="263" t="str">
        <f>D8</f>
        <v>Upto 15 Asadh 2083</v>
      </c>
      <c r="E25" s="263" t="str">
        <f>E8</f>
        <v>Upto 18 Magh 2082</v>
      </c>
      <c r="F25" s="263" t="str">
        <f>F8</f>
        <v>FY 2081-82</v>
      </c>
    </row>
    <row r="26" spans="1:8" ht="20" customHeight="1">
      <c r="A26" s="179"/>
      <c r="B26" s="88" t="s">
        <v>496</v>
      </c>
      <c r="C26" s="89"/>
      <c r="D26" s="224">
        <f>E28</f>
        <v>0</v>
      </c>
      <c r="E26" s="224">
        <f>F28</f>
        <v>0</v>
      </c>
      <c r="F26" s="269">
        <v>0</v>
      </c>
    </row>
    <row r="27" spans="1:8" ht="20" customHeight="1">
      <c r="A27" s="179"/>
      <c r="B27" s="88" t="s">
        <v>497</v>
      </c>
      <c r="C27" s="89"/>
      <c r="D27" s="224">
        <v>0</v>
      </c>
      <c r="E27" s="224">
        <v>0</v>
      </c>
      <c r="F27" s="269">
        <v>0</v>
      </c>
      <c r="H27" s="180">
        <v>120571</v>
      </c>
    </row>
    <row r="28" spans="1:8" ht="20" customHeight="1">
      <c r="A28" s="179"/>
      <c r="B28" s="88" t="s">
        <v>498</v>
      </c>
      <c r="C28" s="89"/>
      <c r="D28" s="270">
        <v>0</v>
      </c>
      <c r="E28" s="270">
        <v>0</v>
      </c>
      <c r="F28" s="271">
        <v>0</v>
      </c>
    </row>
    <row r="29" spans="1:8" ht="20" customHeight="1">
      <c r="A29" s="179"/>
      <c r="B29" s="95"/>
      <c r="C29" s="96"/>
      <c r="D29" s="272"/>
      <c r="E29" s="272"/>
      <c r="F29" s="272"/>
    </row>
    <row r="30" spans="1:8" ht="20" customHeight="1" thickBot="1">
      <c r="A30" s="179"/>
      <c r="B30" s="95"/>
      <c r="C30" s="96"/>
      <c r="D30" s="267">
        <f>D26+D27-D28</f>
        <v>0</v>
      </c>
      <c r="E30" s="267">
        <f>E26+E27-E28</f>
        <v>0</v>
      </c>
      <c r="F30" s="267">
        <f>F26+F27-F28</f>
        <v>0</v>
      </c>
    </row>
    <row r="31" spans="1:8" ht="20" customHeight="1" thickTop="1">
      <c r="A31" s="179"/>
      <c r="B31" s="95"/>
      <c r="C31" s="96"/>
      <c r="D31" s="96"/>
      <c r="E31" s="268"/>
      <c r="F31" s="268"/>
    </row>
    <row r="32" spans="1:8" ht="20" customHeight="1">
      <c r="A32" s="183">
        <v>3.15</v>
      </c>
      <c r="B32" s="95" t="s">
        <v>283</v>
      </c>
      <c r="C32" s="89"/>
      <c r="D32" s="89"/>
      <c r="E32" s="89"/>
      <c r="F32" s="89"/>
    </row>
    <row r="33" spans="1:8" ht="20" customHeight="1">
      <c r="A33" s="179"/>
      <c r="B33" s="95"/>
      <c r="C33" s="96"/>
      <c r="D33" s="263" t="str">
        <f>D25</f>
        <v>Upto 15 Asadh 2083</v>
      </c>
      <c r="E33" s="263" t="str">
        <f>E66</f>
        <v>Upto 18 Magh 2082</v>
      </c>
      <c r="F33" s="263" t="str">
        <f>F66</f>
        <v>FY 2081-82</v>
      </c>
    </row>
    <row r="34" spans="1:8" ht="20" customHeight="1">
      <c r="A34" s="179"/>
      <c r="B34" s="273" t="s">
        <v>499</v>
      </c>
      <c r="C34" s="89"/>
      <c r="D34" s="224"/>
      <c r="E34" s="224"/>
      <c r="F34" s="274"/>
    </row>
    <row r="35" spans="1:8" ht="20" customHeight="1">
      <c r="A35" s="179"/>
      <c r="B35" s="88" t="s">
        <v>500</v>
      </c>
      <c r="C35" s="89"/>
      <c r="D35" s="224"/>
      <c r="E35" s="224"/>
      <c r="F35" s="269"/>
    </row>
    <row r="36" spans="1:8" ht="20" customHeight="1">
      <c r="A36" s="179"/>
      <c r="B36" s="275" t="s">
        <v>501</v>
      </c>
      <c r="C36" s="89"/>
      <c r="D36" s="224"/>
      <c r="E36" s="224"/>
      <c r="F36" s="269"/>
    </row>
    <row r="37" spans="1:8" ht="20" customHeight="1">
      <c r="A37" s="179"/>
      <c r="B37" s="95"/>
      <c r="C37" s="96"/>
      <c r="D37" s="276"/>
      <c r="E37" s="276"/>
      <c r="F37" s="266"/>
    </row>
    <row r="38" spans="1:8" ht="20" customHeight="1" thickBot="1">
      <c r="A38" s="179"/>
      <c r="B38" s="95"/>
      <c r="C38" s="96"/>
      <c r="D38" s="277">
        <f>SUM(D34:D36)</f>
        <v>0</v>
      </c>
      <c r="E38" s="277">
        <f>SUM(E34:E36)</f>
        <v>0</v>
      </c>
      <c r="F38" s="267">
        <f>SUM(F34:F36)</f>
        <v>0</v>
      </c>
    </row>
    <row r="39" spans="1:8" ht="20" customHeight="1" thickTop="1">
      <c r="A39" s="179"/>
      <c r="B39" s="95"/>
      <c r="C39" s="96"/>
      <c r="D39" s="96"/>
      <c r="E39" s="278"/>
      <c r="F39" s="268"/>
    </row>
    <row r="40" spans="1:8" ht="20" customHeight="1">
      <c r="A40" s="179"/>
      <c r="B40" s="95"/>
      <c r="C40" s="96"/>
      <c r="D40" s="96"/>
      <c r="E40" s="268"/>
      <c r="F40" s="268"/>
    </row>
    <row r="41" spans="1:8" ht="20" customHeight="1">
      <c r="A41" s="183">
        <v>3.16</v>
      </c>
      <c r="B41" s="95" t="s">
        <v>284</v>
      </c>
      <c r="C41" s="89"/>
      <c r="D41" s="89"/>
      <c r="E41" s="89"/>
      <c r="F41" s="89"/>
    </row>
    <row r="42" spans="1:8" ht="20" customHeight="1">
      <c r="A42" s="179"/>
      <c r="B42" s="95"/>
      <c r="C42" s="96"/>
      <c r="D42" s="263" t="str">
        <f>D25</f>
        <v>Upto 15 Asadh 2083</v>
      </c>
      <c r="E42" s="263" t="str">
        <f>E25</f>
        <v>Upto 18 Magh 2082</v>
      </c>
      <c r="F42" s="263" t="str">
        <f>F25</f>
        <v>FY 2081-82</v>
      </c>
    </row>
    <row r="43" spans="1:8" ht="20" customHeight="1">
      <c r="A43" s="179"/>
      <c r="B43" s="88" t="s">
        <v>502</v>
      </c>
      <c r="C43" s="89"/>
      <c r="D43" s="224">
        <v>0</v>
      </c>
      <c r="E43" s="269">
        <v>0</v>
      </c>
      <c r="F43" s="269">
        <v>0</v>
      </c>
    </row>
    <row r="44" spans="1:8" ht="20" hidden="1" customHeight="1">
      <c r="A44" s="179"/>
      <c r="B44" s="88" t="s">
        <v>503</v>
      </c>
      <c r="C44" s="89"/>
      <c r="D44" s="224"/>
      <c r="E44" s="269"/>
      <c r="F44" s="269"/>
    </row>
    <row r="45" spans="1:8" ht="20" hidden="1" customHeight="1">
      <c r="A45" s="179"/>
      <c r="B45" s="88" t="s">
        <v>504</v>
      </c>
      <c r="C45" s="89"/>
      <c r="D45" s="224"/>
      <c r="E45" s="269"/>
      <c r="F45" s="269"/>
    </row>
    <row r="46" spans="1:8" ht="20" hidden="1" customHeight="1">
      <c r="A46" s="179"/>
      <c r="B46" s="88" t="s">
        <v>505</v>
      </c>
      <c r="C46" s="89"/>
      <c r="D46" s="224"/>
      <c r="E46" s="269"/>
      <c r="F46" s="269"/>
      <c r="H46" s="180">
        <f>58914+49076</f>
        <v>107990</v>
      </c>
    </row>
    <row r="47" spans="1:8" ht="20" hidden="1" customHeight="1">
      <c r="A47" s="179"/>
      <c r="B47" s="88" t="s">
        <v>506</v>
      </c>
      <c r="C47" s="89"/>
      <c r="D47" s="224"/>
      <c r="E47" s="269"/>
      <c r="F47" s="269"/>
    </row>
    <row r="48" spans="1:8" ht="20" customHeight="1">
      <c r="A48" s="179"/>
      <c r="B48" s="88"/>
      <c r="C48" s="89"/>
      <c r="D48" s="89"/>
      <c r="E48" s="200"/>
      <c r="F48" s="200"/>
    </row>
    <row r="49" spans="1:6" ht="20" customHeight="1">
      <c r="A49" s="179"/>
      <c r="B49" s="88"/>
      <c r="C49" s="89"/>
      <c r="D49" s="266"/>
      <c r="E49" s="272"/>
      <c r="F49" s="272"/>
    </row>
    <row r="50" spans="1:6" ht="20" customHeight="1" thickBot="1">
      <c r="A50" s="179"/>
      <c r="B50" s="95"/>
      <c r="C50" s="96"/>
      <c r="D50" s="267">
        <f>SUM(D43:D48)</f>
        <v>0</v>
      </c>
      <c r="E50" s="267">
        <f>SUM(E43:E47)</f>
        <v>0</v>
      </c>
      <c r="F50" s="267">
        <f>SUM(F43:F47)</f>
        <v>0</v>
      </c>
    </row>
    <row r="51" spans="1:6" ht="20" customHeight="1" thickTop="1">
      <c r="A51" s="179"/>
      <c r="B51" s="88"/>
      <c r="C51" s="89"/>
      <c r="D51" s="89"/>
      <c r="E51" s="89"/>
      <c r="F51" s="89"/>
    </row>
    <row r="52" spans="1:6" ht="20" hidden="1" customHeight="1">
      <c r="A52" s="179"/>
      <c r="B52" s="95" t="s">
        <v>507</v>
      </c>
      <c r="C52" s="89"/>
      <c r="D52" s="89"/>
      <c r="E52" s="89"/>
      <c r="F52" s="89"/>
    </row>
    <row r="53" spans="1:6" ht="35" hidden="1" customHeight="1">
      <c r="A53" s="179"/>
      <c r="B53" s="329" t="s">
        <v>508</v>
      </c>
      <c r="C53" s="329"/>
      <c r="D53" s="329"/>
      <c r="E53" s="329"/>
      <c r="F53" s="329"/>
    </row>
    <row r="54" spans="1:6" ht="20" hidden="1" customHeight="1">
      <c r="A54" s="179"/>
      <c r="B54" s="88"/>
      <c r="C54" s="89"/>
      <c r="D54" s="89"/>
      <c r="E54" s="89"/>
      <c r="F54" s="89"/>
    </row>
    <row r="55" spans="1:6" ht="20" hidden="1" customHeight="1">
      <c r="A55" s="179"/>
      <c r="B55" s="95"/>
      <c r="C55" s="96"/>
      <c r="D55" s="96"/>
      <c r="E55" s="263" t="str">
        <f>E42</f>
        <v>Upto 18 Magh 2082</v>
      </c>
      <c r="F55" s="263" t="str">
        <f>F42</f>
        <v>FY 2081-82</v>
      </c>
    </row>
    <row r="56" spans="1:6" ht="20" hidden="1" customHeight="1">
      <c r="A56" s="179"/>
      <c r="B56" s="88" t="s">
        <v>188</v>
      </c>
      <c r="C56" s="89"/>
      <c r="D56" s="89"/>
      <c r="E56" s="89"/>
      <c r="F56" s="89"/>
    </row>
    <row r="57" spans="1:6" ht="20" hidden="1" customHeight="1">
      <c r="A57" s="179"/>
      <c r="B57" s="88" t="s">
        <v>509</v>
      </c>
      <c r="C57" s="89"/>
      <c r="D57" s="89"/>
      <c r="E57" s="89"/>
      <c r="F57" s="89"/>
    </row>
    <row r="58" spans="1:6" ht="20" hidden="1" customHeight="1">
      <c r="A58" s="179"/>
      <c r="B58" s="88" t="s">
        <v>510</v>
      </c>
      <c r="C58" s="89"/>
      <c r="D58" s="89"/>
      <c r="E58" s="89"/>
      <c r="F58" s="89"/>
    </row>
    <row r="59" spans="1:6" ht="20" hidden="1" customHeight="1">
      <c r="A59" s="179"/>
      <c r="B59" s="88" t="s">
        <v>511</v>
      </c>
      <c r="C59" s="89"/>
      <c r="D59" s="89"/>
      <c r="E59" s="89"/>
      <c r="F59" s="89"/>
    </row>
    <row r="60" spans="1:6" ht="20" hidden="1" customHeight="1">
      <c r="A60" s="179"/>
      <c r="B60" s="88" t="s">
        <v>512</v>
      </c>
      <c r="C60" s="89"/>
      <c r="D60" s="89"/>
      <c r="E60" s="89"/>
      <c r="F60" s="89"/>
    </row>
    <row r="61" spans="1:6" ht="20" hidden="1" customHeight="1">
      <c r="A61" s="179"/>
      <c r="B61" s="88"/>
      <c r="C61" s="96"/>
      <c r="D61" s="96"/>
      <c r="E61" s="266"/>
      <c r="F61" s="266"/>
    </row>
    <row r="62" spans="1:6" ht="20" hidden="1" customHeight="1" thickBot="1">
      <c r="A62" s="179"/>
      <c r="B62" s="179"/>
      <c r="C62" s="179"/>
      <c r="D62" s="179"/>
      <c r="E62" s="267">
        <f>SUM(E60:E60)</f>
        <v>0</v>
      </c>
      <c r="F62" s="267">
        <f>SUM(F60:F60)</f>
        <v>0</v>
      </c>
    </row>
    <row r="63" spans="1:6" ht="20" hidden="1" customHeight="1" thickTop="1">
      <c r="A63" s="179"/>
      <c r="B63" s="179"/>
      <c r="C63" s="179"/>
      <c r="D63" s="179"/>
      <c r="E63" s="179"/>
      <c r="F63" s="179"/>
    </row>
    <row r="64" spans="1:6" ht="20" hidden="1" customHeight="1">
      <c r="A64" s="179"/>
      <c r="B64" s="179"/>
      <c r="C64" s="179"/>
      <c r="D64" s="179"/>
      <c r="E64" s="179"/>
      <c r="F64" s="179"/>
    </row>
    <row r="65" spans="1:6" ht="20" customHeight="1">
      <c r="A65" s="183">
        <v>3.17</v>
      </c>
      <c r="B65" s="95" t="s">
        <v>285</v>
      </c>
      <c r="C65" s="89"/>
      <c r="D65" s="89"/>
      <c r="E65" s="89"/>
      <c r="F65" s="89"/>
    </row>
    <row r="66" spans="1:6" ht="20" customHeight="1">
      <c r="A66" s="179"/>
      <c r="B66" s="95"/>
      <c r="C66" s="96"/>
      <c r="D66" s="263" t="str">
        <f>D42</f>
        <v>Upto 15 Asadh 2083</v>
      </c>
      <c r="E66" s="263" t="str">
        <f>E55</f>
        <v>Upto 18 Magh 2082</v>
      </c>
      <c r="F66" s="263" t="str">
        <f>F55</f>
        <v>FY 2081-82</v>
      </c>
    </row>
    <row r="67" spans="1:6" ht="20" customHeight="1">
      <c r="A67" s="179"/>
      <c r="B67" s="196" t="s">
        <v>513</v>
      </c>
      <c r="C67" s="96"/>
      <c r="D67" s="279"/>
      <c r="E67" s="279"/>
      <c r="F67" s="279"/>
    </row>
    <row r="68" spans="1:6" ht="20" customHeight="1">
      <c r="A68" s="179"/>
      <c r="B68" s="280" t="s">
        <v>187</v>
      </c>
      <c r="C68" s="89"/>
      <c r="D68" s="224">
        <f>'TB update upto 10.18'!F106</f>
        <v>0</v>
      </c>
      <c r="E68" s="224">
        <f>'TB update upto 10.18'!G106</f>
        <v>33900</v>
      </c>
      <c r="F68" s="281">
        <v>28250</v>
      </c>
    </row>
    <row r="69" spans="1:6" ht="20" customHeight="1">
      <c r="A69" s="179"/>
      <c r="B69" s="280" t="s">
        <v>514</v>
      </c>
      <c r="C69" s="89"/>
      <c r="D69" s="224"/>
      <c r="E69" s="224"/>
      <c r="F69" s="281">
        <v>1132</v>
      </c>
    </row>
    <row r="70" spans="1:6" ht="20" customHeight="1">
      <c r="A70" s="179"/>
      <c r="B70" s="280" t="s">
        <v>515</v>
      </c>
      <c r="C70" s="89"/>
      <c r="D70" s="224"/>
      <c r="E70" s="224"/>
      <c r="F70" s="281"/>
    </row>
    <row r="71" spans="1:6" ht="20" customHeight="1">
      <c r="A71" s="179"/>
      <c r="B71" s="280" t="s">
        <v>516</v>
      </c>
      <c r="C71" s="89"/>
      <c r="D71" s="224"/>
      <c r="E71" s="224"/>
      <c r="F71" s="281"/>
    </row>
    <row r="72" spans="1:6" ht="20" customHeight="1">
      <c r="A72" s="179"/>
      <c r="B72" s="280" t="s">
        <v>517</v>
      </c>
      <c r="C72" s="89"/>
      <c r="D72" s="224"/>
      <c r="E72" s="224"/>
      <c r="F72" s="281"/>
    </row>
    <row r="73" spans="1:6" ht="20" customHeight="1">
      <c r="A73" s="179"/>
      <c r="B73" s="280" t="s">
        <v>518</v>
      </c>
      <c r="C73" s="89"/>
      <c r="D73" s="224"/>
      <c r="E73" s="224"/>
      <c r="F73" s="281"/>
    </row>
    <row r="74" spans="1:6" ht="20" customHeight="1">
      <c r="A74" s="179"/>
      <c r="B74" s="280" t="s">
        <v>519</v>
      </c>
      <c r="C74" s="89"/>
      <c r="D74" s="224"/>
      <c r="E74" s="224"/>
      <c r="F74" s="281"/>
    </row>
    <row r="75" spans="1:6" ht="20" customHeight="1">
      <c r="A75" s="179"/>
      <c r="B75" s="280" t="s">
        <v>520</v>
      </c>
      <c r="C75" s="89"/>
      <c r="D75" s="224"/>
      <c r="E75" s="224"/>
      <c r="F75" s="281"/>
    </row>
    <row r="76" spans="1:6" ht="20" customHeight="1">
      <c r="A76" s="179"/>
      <c r="B76" s="282" t="s">
        <v>521</v>
      </c>
      <c r="C76" s="89"/>
      <c r="D76" s="224"/>
      <c r="E76" s="224"/>
      <c r="F76" s="281"/>
    </row>
    <row r="77" spans="1:6" ht="20" customHeight="1">
      <c r="A77" s="179"/>
      <c r="B77" s="282" t="s">
        <v>102</v>
      </c>
      <c r="C77" s="89"/>
      <c r="D77" s="224"/>
      <c r="E77" s="224"/>
      <c r="F77" s="281"/>
    </row>
    <row r="78" spans="1:6" ht="20" customHeight="1">
      <c r="A78" s="179"/>
      <c r="B78" s="282" t="s">
        <v>522</v>
      </c>
      <c r="C78" s="89"/>
      <c r="D78" s="224"/>
      <c r="E78" s="224"/>
      <c r="F78" s="224"/>
    </row>
    <row r="79" spans="1:6" ht="20" customHeight="1">
      <c r="A79" s="179"/>
      <c r="B79" s="282" t="s">
        <v>523</v>
      </c>
      <c r="C79" s="89"/>
      <c r="D79" s="283"/>
      <c r="E79" s="283"/>
      <c r="F79" s="224"/>
    </row>
    <row r="80" spans="1:6" ht="20" customHeight="1">
      <c r="A80" s="179"/>
      <c r="B80" s="88" t="s">
        <v>524</v>
      </c>
      <c r="C80" s="179"/>
      <c r="D80" s="224"/>
      <c r="E80" s="224"/>
      <c r="F80" s="224"/>
    </row>
    <row r="81" spans="1:6" ht="20" customHeight="1" thickBot="1">
      <c r="A81" s="179"/>
      <c r="B81" s="88"/>
      <c r="C81" s="179"/>
      <c r="D81" s="267">
        <f>SUM(D68:D80)</f>
        <v>0</v>
      </c>
      <c r="E81" s="267">
        <f>SUM(E68:E80)</f>
        <v>33900</v>
      </c>
      <c r="F81" s="267">
        <f>SUM(F68:F80)</f>
        <v>29382</v>
      </c>
    </row>
    <row r="82" spans="1:6" ht="20" customHeight="1" thickTop="1">
      <c r="A82" s="179"/>
      <c r="B82" s="88"/>
      <c r="C82" s="179"/>
      <c r="D82" s="179"/>
      <c r="E82" s="224"/>
      <c r="F82" s="224"/>
    </row>
    <row r="83" spans="1:6" ht="20" customHeight="1">
      <c r="A83" s="183">
        <v>3.18</v>
      </c>
      <c r="B83" s="95" t="s">
        <v>525</v>
      </c>
      <c r="C83" s="89"/>
      <c r="D83" s="89"/>
      <c r="E83" s="89"/>
      <c r="F83" s="89"/>
    </row>
    <row r="84" spans="1:6" ht="20" customHeight="1">
      <c r="A84" s="179"/>
      <c r="B84" s="95"/>
      <c r="C84" s="96"/>
      <c r="D84" s="263" t="str">
        <f>D33</f>
        <v>Upto 15 Asadh 2083</v>
      </c>
      <c r="E84" s="263" t="str">
        <f>E33</f>
        <v>Upto 18 Magh 2082</v>
      </c>
      <c r="F84" s="263" t="str">
        <f>F33</f>
        <v>FY 2081-82</v>
      </c>
    </row>
    <row r="85" spans="1:6" ht="20" customHeight="1">
      <c r="A85" s="179"/>
      <c r="B85" s="88" t="s">
        <v>526</v>
      </c>
      <c r="C85" s="89"/>
      <c r="D85" s="224"/>
      <c r="E85" s="224"/>
      <c r="F85" s="224"/>
    </row>
    <row r="86" spans="1:6" ht="20" customHeight="1" thickBot="1">
      <c r="A86" s="179"/>
      <c r="B86" s="95"/>
      <c r="C86" s="96"/>
      <c r="D86" s="267">
        <f>SUM(D85:D85)</f>
        <v>0</v>
      </c>
      <c r="E86" s="267">
        <f>SUM(E85:E85)</f>
        <v>0</v>
      </c>
      <c r="F86" s="267">
        <f>SUM(F85:F85)</f>
        <v>0</v>
      </c>
    </row>
    <row r="87" spans="1:6" ht="14" thickTop="1">
      <c r="A87" s="179"/>
      <c r="B87" s="179"/>
      <c r="C87" s="179"/>
      <c r="D87" s="179"/>
      <c r="E87" s="179"/>
      <c r="F87" s="179"/>
    </row>
  </sheetData>
  <mergeCells count="3">
    <mergeCell ref="A1:F1"/>
    <mergeCell ref="A3:F3"/>
    <mergeCell ref="B53:F53"/>
  </mergeCells>
  <pageMargins left="0.7" right="0.7" top="0.75" bottom="0.75" header="0.3" footer="0.3"/>
  <pageSetup scale="78" orientation="portrait" r:id="rId1"/>
  <rowBreaks count="1" manualBreakCount="1">
    <brk id="40" max="5"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D37"/>
  <sheetViews>
    <sheetView showGridLines="0" view="pageBreakPreview" topLeftCell="A9" zoomScaleNormal="100" zoomScaleSheetLayoutView="100" workbookViewId="0">
      <selection activeCell="C12" sqref="C12"/>
    </sheetView>
  </sheetViews>
  <sheetFormatPr defaultColWidth="9.1796875" defaultRowHeight="13.5"/>
  <cols>
    <col min="1" max="1" width="9.1796875" style="180"/>
    <col min="2" max="2" width="45.1796875" style="180" bestFit="1" customWidth="1"/>
    <col min="3" max="3" width="25.453125" style="180" customWidth="1"/>
    <col min="4" max="4" width="20.453125" style="180" customWidth="1"/>
    <col min="5" max="16384" width="9.1796875" style="180"/>
  </cols>
  <sheetData>
    <row r="1" spans="1:4" ht="17.5">
      <c r="A1" s="327" t="str">
        <f>'[5]3.3'!A1:E1</f>
        <v>CELER MART PVT. LTD.</v>
      </c>
      <c r="B1" s="327"/>
      <c r="C1" s="327"/>
      <c r="D1" s="327"/>
    </row>
    <row r="2" spans="1:4" ht="17.5">
      <c r="C2" s="213"/>
      <c r="D2" s="213"/>
    </row>
    <row r="3" spans="1:4" ht="20" customHeight="1">
      <c r="A3" s="328" t="s">
        <v>337</v>
      </c>
      <c r="B3" s="328"/>
      <c r="C3" s="328"/>
      <c r="D3" s="328"/>
    </row>
    <row r="4" spans="1:4" ht="20" customHeight="1">
      <c r="C4" s="213"/>
      <c r="D4" s="213"/>
    </row>
    <row r="5" spans="1:4" ht="20" customHeight="1" thickBot="1">
      <c r="A5" s="218"/>
      <c r="B5" s="218"/>
      <c r="C5" s="218"/>
      <c r="D5" s="182" t="s">
        <v>276</v>
      </c>
    </row>
    <row r="6" spans="1:4" ht="20" customHeight="1"/>
    <row r="7" spans="1:4" ht="20" customHeight="1">
      <c r="A7" s="183">
        <v>3.19</v>
      </c>
      <c r="B7" s="95" t="s">
        <v>527</v>
      </c>
      <c r="C7" s="89"/>
      <c r="D7" s="89"/>
    </row>
    <row r="8" spans="1:4" ht="20" customHeight="1">
      <c r="B8" s="95"/>
      <c r="C8" s="284" t="str">
        <f>'3.12 to 3.18 ao 10.18'!D8</f>
        <v>Upto 18 Magh 2082</v>
      </c>
      <c r="D8" s="284" t="str">
        <f>'3.12 to 3.18 ao 10.18'!E8</f>
        <v>FY 2081-82</v>
      </c>
    </row>
    <row r="9" spans="1:4" ht="20" customHeight="1">
      <c r="B9" s="88" t="s">
        <v>528</v>
      </c>
      <c r="C9" s="89"/>
      <c r="D9" s="224">
        <v>0</v>
      </c>
    </row>
    <row r="10" spans="1:4" ht="20" customHeight="1">
      <c r="B10" s="88"/>
      <c r="C10" s="89"/>
      <c r="D10" s="89"/>
    </row>
    <row r="11" spans="1:4" ht="20" customHeight="1">
      <c r="B11" s="95"/>
      <c r="C11" s="266"/>
      <c r="D11" s="266"/>
    </row>
    <row r="12" spans="1:4" ht="20" customHeight="1" thickBot="1">
      <c r="B12" s="88"/>
      <c r="C12" s="267">
        <f>SUM(C10:C10)</f>
        <v>0</v>
      </c>
      <c r="D12" s="267">
        <f>SUM(D9:D10)</f>
        <v>0</v>
      </c>
    </row>
    <row r="13" spans="1:4" ht="20" customHeight="1" thickTop="1">
      <c r="B13" s="88"/>
      <c r="C13" s="268"/>
      <c r="D13" s="268"/>
    </row>
    <row r="14" spans="1:4" ht="20" customHeight="1">
      <c r="A14" s="285">
        <v>3.2</v>
      </c>
      <c r="B14" s="95" t="s">
        <v>529</v>
      </c>
      <c r="C14" s="96"/>
      <c r="D14" s="96"/>
    </row>
    <row r="15" spans="1:4" ht="20" customHeight="1">
      <c r="B15" s="95"/>
      <c r="C15" s="286" t="str">
        <f>C8</f>
        <v>Upto 18 Magh 2082</v>
      </c>
      <c r="D15" s="286" t="str">
        <f>D8</f>
        <v>FY 2081-82</v>
      </c>
    </row>
    <row r="16" spans="1:4" ht="20" customHeight="1">
      <c r="B16" s="88" t="s">
        <v>530</v>
      </c>
      <c r="C16" s="224">
        <f>'Tax Computation 10.18'!C16</f>
        <v>0</v>
      </c>
      <c r="D16" s="287">
        <f>'SOI 10.18'!D21</f>
        <v>0</v>
      </c>
    </row>
    <row r="17" spans="2:4" ht="20" customHeight="1">
      <c r="B17" s="88" t="s">
        <v>531</v>
      </c>
      <c r="C17" s="224">
        <v>0</v>
      </c>
      <c r="D17" s="287">
        <f>'SOI 10.18'!D22</f>
        <v>0</v>
      </c>
    </row>
    <row r="18" spans="2:4" ht="20" customHeight="1">
      <c r="B18" s="95"/>
      <c r="C18" s="276"/>
      <c r="D18" s="266"/>
    </row>
    <row r="19" spans="2:4" ht="20" customHeight="1" thickBot="1">
      <c r="B19" s="179"/>
      <c r="C19" s="277">
        <f>SUM(C16:C17)</f>
        <v>0</v>
      </c>
      <c r="D19" s="267">
        <f>SUM(D16:D17)</f>
        <v>0</v>
      </c>
    </row>
    <row r="20" spans="2:4" ht="20" customHeight="1" thickTop="1">
      <c r="B20" s="179"/>
      <c r="C20" s="179"/>
      <c r="D20" s="179"/>
    </row>
    <row r="21" spans="2:4" ht="20" customHeight="1">
      <c r="B21" s="186" t="s">
        <v>532</v>
      </c>
      <c r="C21" s="179"/>
      <c r="D21" s="179"/>
    </row>
    <row r="22" spans="2:4" ht="20" customHeight="1">
      <c r="B22" s="179"/>
      <c r="C22" s="286" t="str">
        <f>C15</f>
        <v>Upto 18 Magh 2082</v>
      </c>
      <c r="D22" s="286" t="str">
        <f>D15</f>
        <v>FY 2081-82</v>
      </c>
    </row>
    <row r="23" spans="2:4" ht="20" customHeight="1">
      <c r="B23" s="288" t="s">
        <v>533</v>
      </c>
      <c r="C23" s="289">
        <f>'Tax Computation 10.18'!C3</f>
        <v>-164485.25</v>
      </c>
      <c r="D23" s="289">
        <f>'SOI 10.18'!D19</f>
        <v>-177096</v>
      </c>
    </row>
    <row r="24" spans="2:4" ht="20" customHeight="1">
      <c r="B24" s="179" t="s">
        <v>534</v>
      </c>
      <c r="C24" s="290">
        <f>'Tax Computation 10.18'!C4</f>
        <v>130585.25</v>
      </c>
      <c r="D24" s="290">
        <f>'SOI 10.18'!D17</f>
        <v>147714</v>
      </c>
    </row>
    <row r="25" spans="2:4" ht="20" customHeight="1">
      <c r="B25" s="179" t="s">
        <v>535</v>
      </c>
      <c r="C25" s="290">
        <f>'Tax Computation 10.18'!C5</f>
        <v>0</v>
      </c>
      <c r="D25" s="290">
        <f>-D24</f>
        <v>-147714</v>
      </c>
    </row>
    <row r="26" spans="2:4" ht="20" customHeight="1">
      <c r="B26" s="179" t="s">
        <v>536</v>
      </c>
      <c r="C26" s="290">
        <f>'Tax Computation 10.18'!C6</f>
        <v>0</v>
      </c>
      <c r="D26" s="290">
        <f>-[5]Reco!F23</f>
        <v>0</v>
      </c>
    </row>
    <row r="27" spans="2:4" ht="20" customHeight="1">
      <c r="B27" s="179" t="s">
        <v>537</v>
      </c>
      <c r="C27" s="290">
        <f>'Tax Computation 10.18'!C7</f>
        <v>0</v>
      </c>
      <c r="D27" s="290">
        <f>-[5]Reco!F15</f>
        <v>0</v>
      </c>
    </row>
    <row r="28" spans="2:4" ht="20" customHeight="1">
      <c r="B28" s="179" t="s">
        <v>538</v>
      </c>
      <c r="C28" s="290">
        <f>'Tax Computation 10.18'!C8</f>
        <v>0</v>
      </c>
      <c r="D28" s="290">
        <f>-[5]Reco!F14</f>
        <v>0</v>
      </c>
    </row>
    <row r="29" spans="2:4" ht="20" customHeight="1">
      <c r="B29" s="179" t="s">
        <v>539</v>
      </c>
      <c r="C29" s="290">
        <f>'Tax Computation 10.18'!C9</f>
        <v>0</v>
      </c>
      <c r="D29" s="290">
        <f>-[5]Reco!F17</f>
        <v>0</v>
      </c>
    </row>
    <row r="30" spans="2:4" ht="20" customHeight="1">
      <c r="B30" s="179" t="s">
        <v>540</v>
      </c>
      <c r="C30" s="290">
        <f>'Tax Computation 10.18'!C10</f>
        <v>0</v>
      </c>
      <c r="D30" s="290">
        <f>-[5]Reco!F16</f>
        <v>0</v>
      </c>
    </row>
    <row r="31" spans="2:4" ht="20" customHeight="1">
      <c r="B31" s="179" t="s">
        <v>541</v>
      </c>
      <c r="C31" s="290">
        <f>'Tax Computation 10.18'!C11</f>
        <v>0</v>
      </c>
      <c r="D31" s="290">
        <f>-[5]Reco!F20</f>
        <v>0</v>
      </c>
    </row>
    <row r="32" spans="2:4" ht="20" customHeight="1">
      <c r="B32" s="179" t="s">
        <v>542</v>
      </c>
      <c r="C32" s="290">
        <f>'Tax Computation 10.18'!C12</f>
        <v>0</v>
      </c>
      <c r="D32" s="290">
        <f>-[5]Reco!F22</f>
        <v>0</v>
      </c>
    </row>
    <row r="33" spans="2:4" ht="20" customHeight="1">
      <c r="B33" s="179" t="s">
        <v>543</v>
      </c>
      <c r="C33" s="290">
        <f>'Tax Computation 10.18'!C13</f>
        <v>0</v>
      </c>
      <c r="D33" s="290">
        <f>-[5]Reco!F21</f>
        <v>0</v>
      </c>
    </row>
    <row r="34" spans="2:4" ht="20" customHeight="1">
      <c r="B34" s="179" t="s">
        <v>544</v>
      </c>
      <c r="C34" s="290">
        <v>0</v>
      </c>
      <c r="D34" s="290">
        <v>270000</v>
      </c>
    </row>
    <row r="35" spans="2:4" ht="20" customHeight="1">
      <c r="B35" s="291" t="s">
        <v>545</v>
      </c>
      <c r="C35" s="292">
        <f>'Tax Computation 10.18'!C14</f>
        <v>0</v>
      </c>
      <c r="D35" s="292">
        <v>0</v>
      </c>
    </row>
    <row r="36" spans="2:4" ht="20" customHeight="1">
      <c r="B36" s="293" t="s">
        <v>546</v>
      </c>
      <c r="C36" s="294">
        <f>SUM(C23:C35)</f>
        <v>-33900</v>
      </c>
      <c r="D36" s="294">
        <f>SUM(D23:D35)</f>
        <v>92904</v>
      </c>
    </row>
    <row r="37" spans="2:4" ht="20" customHeight="1" thickBot="1">
      <c r="B37" s="295" t="s">
        <v>547</v>
      </c>
      <c r="C37" s="296">
        <f>C36*25%</f>
        <v>-8475</v>
      </c>
      <c r="D37" s="296">
        <f>D36*25%</f>
        <v>23226</v>
      </c>
    </row>
  </sheetData>
  <mergeCells count="2">
    <mergeCell ref="A1:D1"/>
    <mergeCell ref="A3:D3"/>
  </mergeCells>
  <pageMargins left="0.7" right="0.7" top="0.75" bottom="0.75" header="0.3" footer="0.3"/>
  <pageSetup scale="85"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A31"/>
  <sheetViews>
    <sheetView showGridLines="0" view="pageBreakPreview" zoomScaleNormal="140" zoomScaleSheetLayoutView="100" workbookViewId="0">
      <selection activeCell="C12" sqref="C12"/>
    </sheetView>
  </sheetViews>
  <sheetFormatPr defaultColWidth="10.81640625" defaultRowHeight="12.5"/>
  <cols>
    <col min="1" max="1" width="103.81640625" style="179" customWidth="1"/>
    <col min="2" max="16384" width="10.81640625" style="179"/>
  </cols>
  <sheetData>
    <row r="1" spans="1:1" ht="17.5">
      <c r="A1" s="178" t="str">
        <f>'[5]3.3'!A1:E1</f>
        <v>CELER MART PVT. LTD.</v>
      </c>
    </row>
    <row r="2" spans="1:1" ht="13.5">
      <c r="A2" s="180"/>
    </row>
    <row r="3" spans="1:1" ht="14">
      <c r="A3" s="181" t="s">
        <v>337</v>
      </c>
    </row>
    <row r="4" spans="1:1" ht="13.5">
      <c r="A4" s="180"/>
    </row>
    <row r="5" spans="1:1" ht="13" thickBot="1">
      <c r="A5" s="182" t="s">
        <v>276</v>
      </c>
    </row>
    <row r="7" spans="1:1">
      <c r="A7" s="186" t="s">
        <v>548</v>
      </c>
    </row>
    <row r="8" spans="1:1" ht="50">
      <c r="A8" s="297" t="s">
        <v>549</v>
      </c>
    </row>
    <row r="9" spans="1:1">
      <c r="A9" s="297"/>
    </row>
    <row r="10" spans="1:1">
      <c r="A10" s="186" t="s">
        <v>550</v>
      </c>
    </row>
    <row r="11" spans="1:1" ht="25">
      <c r="A11" s="297" t="s">
        <v>551</v>
      </c>
    </row>
    <row r="12" spans="1:1">
      <c r="A12" s="297"/>
    </row>
    <row r="13" spans="1:1">
      <c r="A13" s="186" t="s">
        <v>552</v>
      </c>
    </row>
    <row r="14" spans="1:1">
      <c r="A14" s="186" t="s">
        <v>553</v>
      </c>
    </row>
    <row r="15" spans="1:1" ht="37.5">
      <c r="A15" s="297" t="s">
        <v>554</v>
      </c>
    </row>
    <row r="16" spans="1:1">
      <c r="A16" s="179" t="s">
        <v>555</v>
      </c>
    </row>
    <row r="17" spans="1:1" ht="37.5">
      <c r="A17" s="297" t="s">
        <v>556</v>
      </c>
    </row>
    <row r="18" spans="1:1" ht="25">
      <c r="A18" s="297" t="s">
        <v>557</v>
      </c>
    </row>
    <row r="19" spans="1:1">
      <c r="A19" s="297" t="s">
        <v>558</v>
      </c>
    </row>
    <row r="20" spans="1:1" ht="50">
      <c r="A20" s="297" t="s">
        <v>559</v>
      </c>
    </row>
    <row r="21" spans="1:1">
      <c r="A21" s="297"/>
    </row>
    <row r="22" spans="1:1">
      <c r="A22" s="298" t="s">
        <v>560</v>
      </c>
    </row>
    <row r="23" spans="1:1" ht="50">
      <c r="A23" s="297" t="s">
        <v>561</v>
      </c>
    </row>
    <row r="24" spans="1:1" ht="37.5">
      <c r="A24" s="297" t="s">
        <v>562</v>
      </c>
    </row>
    <row r="25" spans="1:1">
      <c r="A25" s="297"/>
    </row>
    <row r="26" spans="1:1">
      <c r="A26" s="298" t="s">
        <v>563</v>
      </c>
    </row>
    <row r="27" spans="1:1" ht="62.5">
      <c r="A27" s="297" t="s">
        <v>564</v>
      </c>
    </row>
    <row r="28" spans="1:1">
      <c r="A28" s="297"/>
    </row>
    <row r="29" spans="1:1">
      <c r="A29" s="297"/>
    </row>
    <row r="30" spans="1:1">
      <c r="A30" s="297"/>
    </row>
    <row r="31" spans="1:1">
      <c r="A31" s="297"/>
    </row>
  </sheetData>
  <pageMargins left="0.7" right="0.7" top="0.75" bottom="0.75" header="0.3" footer="0.3"/>
  <pageSetup scale="9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A127"/>
  <sheetViews>
    <sheetView showGridLines="0" view="pageBreakPreview" topLeftCell="A31" zoomScaleNormal="140" zoomScaleSheetLayoutView="100" workbookViewId="0">
      <selection activeCell="C12" sqref="C12"/>
    </sheetView>
  </sheetViews>
  <sheetFormatPr defaultColWidth="10.81640625" defaultRowHeight="12.5"/>
  <cols>
    <col min="1" max="1" width="101.1796875" style="179" customWidth="1"/>
    <col min="2" max="16384" width="10.81640625" style="179"/>
  </cols>
  <sheetData>
    <row r="1" spans="1:1" ht="17.5">
      <c r="A1" s="178" t="str">
        <f>'[5]3.3'!A1:E1</f>
        <v>CELER MART PVT. LTD.</v>
      </c>
    </row>
    <row r="2" spans="1:1" ht="13.5">
      <c r="A2" s="180"/>
    </row>
    <row r="3" spans="1:1" ht="14">
      <c r="A3" s="181" t="s">
        <v>337</v>
      </c>
    </row>
    <row r="4" spans="1:1" ht="20" customHeight="1">
      <c r="A4" s="180"/>
    </row>
    <row r="5" spans="1:1" ht="20" customHeight="1" thickBot="1">
      <c r="A5" s="182" t="s">
        <v>276</v>
      </c>
    </row>
    <row r="6" spans="1:1" ht="20" customHeight="1"/>
    <row r="7" spans="1:1" ht="20" customHeight="1">
      <c r="A7" s="183" t="s">
        <v>338</v>
      </c>
    </row>
    <row r="8" spans="1:1" ht="20" customHeight="1"/>
    <row r="9" spans="1:1" ht="20" customHeight="1">
      <c r="A9" s="184" t="s">
        <v>339</v>
      </c>
    </row>
    <row r="10" spans="1:1" ht="20" customHeight="1">
      <c r="A10" s="185" t="s">
        <v>340</v>
      </c>
    </row>
    <row r="11" spans="1:1" ht="20" customHeight="1">
      <c r="A11" s="179" t="s">
        <v>341</v>
      </c>
    </row>
    <row r="12" spans="1:1" ht="20" customHeight="1"/>
    <row r="13" spans="1:1" ht="20" customHeight="1">
      <c r="A13" s="186" t="s">
        <v>342</v>
      </c>
    </row>
    <row r="14" spans="1:1" ht="20" customHeight="1">
      <c r="A14" s="184" t="s">
        <v>343</v>
      </c>
    </row>
    <row r="15" spans="1:1" ht="20" customHeight="1">
      <c r="A15" s="187" t="s">
        <v>344</v>
      </c>
    </row>
    <row r="16" spans="1:1" ht="30" customHeight="1">
      <c r="A16" s="185" t="s">
        <v>345</v>
      </c>
    </row>
    <row r="17" spans="1:1" ht="20" customHeight="1">
      <c r="A17" s="187" t="s">
        <v>346</v>
      </c>
    </row>
    <row r="18" spans="1:1" ht="25" customHeight="1">
      <c r="A18" s="185" t="s">
        <v>347</v>
      </c>
    </row>
    <row r="19" spans="1:1" ht="20" customHeight="1">
      <c r="A19" s="187" t="s">
        <v>348</v>
      </c>
    </row>
    <row r="20" spans="1:1" ht="25" customHeight="1">
      <c r="A20" s="185" t="s">
        <v>349</v>
      </c>
    </row>
    <row r="21" spans="1:1" ht="20" customHeight="1">
      <c r="A21" s="185"/>
    </row>
    <row r="22" spans="1:1" ht="20" customHeight="1">
      <c r="A22" s="187" t="s">
        <v>350</v>
      </c>
    </row>
    <row r="23" spans="1:1" ht="50" customHeight="1">
      <c r="A23" s="185" t="s">
        <v>351</v>
      </c>
    </row>
    <row r="24" spans="1:1" ht="20" customHeight="1">
      <c r="A24" s="185"/>
    </row>
    <row r="25" spans="1:1" ht="20" customHeight="1">
      <c r="A25" s="187" t="s">
        <v>352</v>
      </c>
    </row>
    <row r="26" spans="1:1" ht="30" customHeight="1">
      <c r="A26" s="185" t="s">
        <v>353</v>
      </c>
    </row>
    <row r="27" spans="1:1" ht="20" customHeight="1">
      <c r="A27" s="185"/>
    </row>
    <row r="28" spans="1:1" ht="20" customHeight="1">
      <c r="A28" s="187" t="s">
        <v>354</v>
      </c>
    </row>
    <row r="29" spans="1:1" ht="35" customHeight="1">
      <c r="A29" s="185" t="s">
        <v>355</v>
      </c>
    </row>
    <row r="30" spans="1:1" ht="35" customHeight="1">
      <c r="A30" s="185" t="s">
        <v>356</v>
      </c>
    </row>
    <row r="31" spans="1:1" ht="20" customHeight="1">
      <c r="A31" s="185"/>
    </row>
    <row r="32" spans="1:1" ht="20" customHeight="1">
      <c r="A32" s="187" t="s">
        <v>357</v>
      </c>
    </row>
    <row r="33" spans="1:1" ht="65" customHeight="1">
      <c r="A33" s="185" t="s">
        <v>358</v>
      </c>
    </row>
    <row r="34" spans="1:1" ht="20" customHeight="1">
      <c r="A34" s="185"/>
    </row>
    <row r="35" spans="1:1" ht="20" customHeight="1">
      <c r="A35" s="187" t="s">
        <v>359</v>
      </c>
    </row>
    <row r="36" spans="1:1" ht="40" customHeight="1">
      <c r="A36" s="185" t="s">
        <v>360</v>
      </c>
    </row>
    <row r="37" spans="1:1" ht="20" customHeight="1">
      <c r="A37" s="185"/>
    </row>
    <row r="38" spans="1:1" ht="20" customHeight="1">
      <c r="A38" s="187" t="s">
        <v>361</v>
      </c>
    </row>
    <row r="39" spans="1:1" ht="35" customHeight="1">
      <c r="A39" s="185" t="s">
        <v>362</v>
      </c>
    </row>
    <row r="40" spans="1:1" ht="35" customHeight="1">
      <c r="A40" s="185" t="s">
        <v>363</v>
      </c>
    </row>
    <row r="41" spans="1:1" ht="20" customHeight="1">
      <c r="A41" s="185"/>
    </row>
    <row r="42" spans="1:1" ht="20" customHeight="1">
      <c r="A42" s="187" t="s">
        <v>364</v>
      </c>
    </row>
    <row r="43" spans="1:1" ht="35" customHeight="1">
      <c r="A43" s="185" t="s">
        <v>365</v>
      </c>
    </row>
    <row r="44" spans="1:1" ht="35" customHeight="1">
      <c r="A44" s="185"/>
    </row>
    <row r="45" spans="1:1" ht="35" customHeight="1">
      <c r="A45" s="187" t="s">
        <v>366</v>
      </c>
    </row>
    <row r="46" spans="1:1" ht="35" customHeight="1">
      <c r="A46" s="187" t="s">
        <v>367</v>
      </c>
    </row>
    <row r="47" spans="1:1" ht="35" customHeight="1">
      <c r="A47" s="185" t="s">
        <v>368</v>
      </c>
    </row>
    <row r="48" spans="1:1" ht="35" customHeight="1">
      <c r="A48" s="187" t="s">
        <v>369</v>
      </c>
    </row>
    <row r="49" spans="1:1" ht="35" customHeight="1">
      <c r="A49" s="185" t="s">
        <v>370</v>
      </c>
    </row>
    <row r="50" spans="1:1" ht="20" customHeight="1">
      <c r="A50" s="185"/>
    </row>
    <row r="51" spans="1:1" ht="20" customHeight="1">
      <c r="A51" s="187" t="s">
        <v>371</v>
      </c>
    </row>
    <row r="52" spans="1:1" ht="35" customHeight="1">
      <c r="A52" s="185" t="s">
        <v>372</v>
      </c>
    </row>
    <row r="53" spans="1:1" ht="35" customHeight="1">
      <c r="A53" s="187" t="s">
        <v>373</v>
      </c>
    </row>
    <row r="54" spans="1:1" ht="35" customHeight="1">
      <c r="A54" s="185" t="s">
        <v>374</v>
      </c>
    </row>
    <row r="55" spans="1:1" ht="35" customHeight="1">
      <c r="A55" s="185" t="s">
        <v>375</v>
      </c>
    </row>
    <row r="56" spans="1:1" ht="35" customHeight="1">
      <c r="A56" s="185"/>
    </row>
    <row r="57" spans="1:1" ht="35" customHeight="1">
      <c r="A57" s="187" t="s">
        <v>376</v>
      </c>
    </row>
    <row r="58" spans="1:1" ht="35" customHeight="1">
      <c r="A58" s="185" t="s">
        <v>377</v>
      </c>
    </row>
    <row r="59" spans="1:1" ht="35" customHeight="1">
      <c r="A59" s="187" t="s">
        <v>378</v>
      </c>
    </row>
    <row r="60" spans="1:1" ht="35" customHeight="1">
      <c r="A60" s="185" t="s">
        <v>379</v>
      </c>
    </row>
    <row r="61" spans="1:1" ht="60" customHeight="1">
      <c r="A61" s="185" t="s">
        <v>380</v>
      </c>
    </row>
    <row r="62" spans="1:1" ht="35" customHeight="1">
      <c r="A62" s="187" t="s">
        <v>381</v>
      </c>
    </row>
    <row r="63" spans="1:1" ht="35" customHeight="1">
      <c r="A63" s="185" t="s">
        <v>382</v>
      </c>
    </row>
    <row r="64" spans="1:1" ht="35" customHeight="1">
      <c r="A64" s="185"/>
    </row>
    <row r="65" spans="1:1" ht="20" customHeight="1">
      <c r="A65" s="187" t="s">
        <v>383</v>
      </c>
    </row>
    <row r="66" spans="1:1" ht="20" customHeight="1">
      <c r="A66" s="187" t="s">
        <v>384</v>
      </c>
    </row>
    <row r="67" spans="1:1" ht="40" customHeight="1">
      <c r="A67" s="185" t="s">
        <v>385</v>
      </c>
    </row>
    <row r="68" spans="1:1" ht="35" customHeight="1">
      <c r="A68" s="187" t="s">
        <v>386</v>
      </c>
    </row>
    <row r="69" spans="1:1" ht="50" customHeight="1">
      <c r="A69" s="185" t="s">
        <v>387</v>
      </c>
    </row>
    <row r="70" spans="1:1" ht="20" customHeight="1">
      <c r="A70" s="185"/>
    </row>
    <row r="71" spans="1:1" ht="20" customHeight="1">
      <c r="A71" s="187" t="s">
        <v>388</v>
      </c>
    </row>
    <row r="72" spans="1:1" ht="50" customHeight="1">
      <c r="A72" s="185" t="s">
        <v>389</v>
      </c>
    </row>
    <row r="73" spans="1:1" ht="50" customHeight="1">
      <c r="A73" s="185" t="s">
        <v>390</v>
      </c>
    </row>
    <row r="74" spans="1:1" ht="20" customHeight="1">
      <c r="A74" s="185"/>
    </row>
    <row r="75" spans="1:1" ht="20" customHeight="1">
      <c r="A75" s="187" t="s">
        <v>391</v>
      </c>
    </row>
    <row r="76" spans="1:1" ht="70" customHeight="1">
      <c r="A76" s="185" t="s">
        <v>392</v>
      </c>
    </row>
    <row r="77" spans="1:1" ht="20" customHeight="1">
      <c r="A77" s="185"/>
    </row>
    <row r="78" spans="1:1" ht="20" customHeight="1">
      <c r="A78" s="187" t="s">
        <v>393</v>
      </c>
    </row>
    <row r="79" spans="1:1" ht="20" customHeight="1">
      <c r="A79" s="185" t="s">
        <v>394</v>
      </c>
    </row>
    <row r="80" spans="1:1" ht="20" customHeight="1">
      <c r="A80" s="185"/>
    </row>
    <row r="81" spans="1:1" ht="20" customHeight="1">
      <c r="A81" s="187" t="s">
        <v>395</v>
      </c>
    </row>
    <row r="82" spans="1:1" ht="35" customHeight="1">
      <c r="A82" s="185" t="s">
        <v>396</v>
      </c>
    </row>
    <row r="83" spans="1:1" ht="20" customHeight="1">
      <c r="A83" s="185"/>
    </row>
    <row r="84" spans="1:1" ht="20" customHeight="1">
      <c r="A84" s="187" t="s">
        <v>397</v>
      </c>
    </row>
    <row r="85" spans="1:1" ht="20" customHeight="1">
      <c r="A85" s="187" t="s">
        <v>398</v>
      </c>
    </row>
    <row r="86" spans="1:1" ht="40" customHeight="1">
      <c r="A86" s="185" t="s">
        <v>399</v>
      </c>
    </row>
    <row r="87" spans="1:1" ht="20" customHeight="1">
      <c r="A87" s="187" t="s">
        <v>400</v>
      </c>
    </row>
    <row r="88" spans="1:1" ht="20" customHeight="1">
      <c r="A88" s="185" t="s">
        <v>401</v>
      </c>
    </row>
    <row r="89" spans="1:1" ht="20" customHeight="1">
      <c r="A89" s="187" t="s">
        <v>402</v>
      </c>
    </row>
    <row r="90" spans="1:1" ht="20" customHeight="1">
      <c r="A90" s="185" t="s">
        <v>403</v>
      </c>
    </row>
    <row r="91" spans="1:1" ht="20" customHeight="1">
      <c r="A91" s="185"/>
    </row>
    <row r="92" spans="1:1" ht="20" customHeight="1">
      <c r="A92" s="187" t="s">
        <v>404</v>
      </c>
    </row>
    <row r="93" spans="1:1" ht="20" customHeight="1">
      <c r="A93" s="187" t="s">
        <v>405</v>
      </c>
    </row>
    <row r="94" spans="1:1" ht="40" customHeight="1">
      <c r="A94" s="185" t="s">
        <v>406</v>
      </c>
    </row>
    <row r="95" spans="1:1" ht="20" customHeight="1">
      <c r="A95" s="187" t="s">
        <v>407</v>
      </c>
    </row>
    <row r="96" spans="1:1" ht="20" customHeight="1">
      <c r="A96" s="185" t="s">
        <v>408</v>
      </c>
    </row>
    <row r="97" spans="1:1">
      <c r="A97" s="185"/>
    </row>
    <row r="98" spans="1:1" s="186" customFormat="1">
      <c r="A98" s="185"/>
    </row>
    <row r="99" spans="1:1">
      <c r="A99" s="184"/>
    </row>
    <row r="100" spans="1:1">
      <c r="A100" s="185"/>
    </row>
    <row r="102" spans="1:1">
      <c r="A102" s="184"/>
    </row>
    <row r="103" spans="1:1">
      <c r="A103" s="188"/>
    </row>
    <row r="105" spans="1:1">
      <c r="A105" s="185"/>
    </row>
    <row r="106" spans="1:1">
      <c r="A106" s="184"/>
    </row>
    <row r="107" spans="1:1">
      <c r="A107" s="185"/>
    </row>
    <row r="108" spans="1:1">
      <c r="A108" s="185"/>
    </row>
    <row r="109" spans="1:1">
      <c r="A109" s="184"/>
    </row>
    <row r="110" spans="1:1">
      <c r="A110" s="185"/>
    </row>
    <row r="111" spans="1:1">
      <c r="A111" s="185"/>
    </row>
    <row r="112" spans="1:1">
      <c r="A112" s="184"/>
    </row>
    <row r="113" spans="1:1">
      <c r="A113" s="185"/>
    </row>
    <row r="114" spans="1:1">
      <c r="A114" s="185"/>
    </row>
    <row r="115" spans="1:1">
      <c r="A115" s="184"/>
    </row>
    <row r="116" spans="1:1">
      <c r="A116" s="185"/>
    </row>
    <row r="117" spans="1:1">
      <c r="A117" s="185"/>
    </row>
    <row r="118" spans="1:1">
      <c r="A118" s="185"/>
    </row>
    <row r="119" spans="1:1">
      <c r="A119" s="184"/>
    </row>
    <row r="120" spans="1:1">
      <c r="A120" s="185"/>
    </row>
    <row r="121" spans="1:1">
      <c r="A121" s="185"/>
    </row>
    <row r="122" spans="1:1">
      <c r="A122" s="184"/>
    </row>
    <row r="123" spans="1:1">
      <c r="A123" s="184"/>
    </row>
    <row r="124" spans="1:1">
      <c r="A124" s="185"/>
    </row>
    <row r="125" spans="1:1">
      <c r="A125" s="185"/>
    </row>
    <row r="126" spans="1:1">
      <c r="A126" s="184"/>
    </row>
    <row r="127" spans="1:1">
      <c r="A127" s="185"/>
    </row>
  </sheetData>
  <pageMargins left="0.7" right="0.7" top="0.75" bottom="0.75" header="0.3" footer="0.3"/>
  <pageSetup scale="89" orientation="portrait" r:id="rId1"/>
  <rowBreaks count="3" manualBreakCount="3">
    <brk id="31" max="16383" man="1"/>
    <brk id="41" max="16383" man="1"/>
    <brk id="6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50"/>
  </sheetPr>
  <dimension ref="A1:E25"/>
  <sheetViews>
    <sheetView showGridLines="0" view="pageBreakPreview" zoomScale="92" zoomScaleNormal="100" zoomScaleSheetLayoutView="92" workbookViewId="0">
      <selection activeCell="J11" sqref="J11"/>
    </sheetView>
  </sheetViews>
  <sheetFormatPr defaultColWidth="8.81640625" defaultRowHeight="13.5"/>
  <cols>
    <col min="1" max="1" width="36.6328125" style="180" bestFit="1" customWidth="1"/>
    <col min="2" max="2" width="8.81640625" style="180"/>
    <col min="3" max="3" width="14.81640625" style="180" bestFit="1" customWidth="1"/>
    <col min="4" max="16384" width="8.81640625" style="180"/>
  </cols>
  <sheetData>
    <row r="1" spans="1:5" ht="20" customHeight="1">
      <c r="A1" s="330" t="s">
        <v>565</v>
      </c>
      <c r="B1" s="330"/>
      <c r="C1" s="330"/>
      <c r="D1" s="330"/>
      <c r="E1" s="330"/>
    </row>
    <row r="2" spans="1:5" ht="20" customHeight="1"/>
    <row r="3" spans="1:5" ht="20" customHeight="1">
      <c r="A3" s="299" t="s">
        <v>533</v>
      </c>
      <c r="B3" s="299"/>
      <c r="C3" s="300">
        <f>'SOI 10.18'!C19</f>
        <v>-164485.25</v>
      </c>
    </row>
    <row r="4" spans="1:5" ht="20" customHeight="1">
      <c r="A4" s="180" t="s">
        <v>534</v>
      </c>
      <c r="C4" s="241">
        <f>'SOI 10.18'!C17</f>
        <v>130585.25</v>
      </c>
    </row>
    <row r="5" spans="1:5" ht="20" customHeight="1">
      <c r="A5" s="180" t="s">
        <v>535</v>
      </c>
      <c r="C5" s="241">
        <v>0</v>
      </c>
    </row>
    <row r="6" spans="1:5" ht="20" customHeight="1">
      <c r="A6" s="180" t="s">
        <v>536</v>
      </c>
      <c r="C6" s="241"/>
    </row>
    <row r="7" spans="1:5" ht="20" customHeight="1">
      <c r="A7" s="180" t="s">
        <v>537</v>
      </c>
      <c r="C7" s="241"/>
    </row>
    <row r="8" spans="1:5" ht="20" customHeight="1">
      <c r="A8" s="180" t="s">
        <v>538</v>
      </c>
      <c r="C8" s="241"/>
    </row>
    <row r="9" spans="1:5" ht="20" customHeight="1">
      <c r="A9" s="180" t="s">
        <v>539</v>
      </c>
      <c r="C9" s="241"/>
    </row>
    <row r="10" spans="1:5" ht="20" customHeight="1">
      <c r="A10" s="180" t="s">
        <v>540</v>
      </c>
      <c r="C10" s="241"/>
    </row>
    <row r="11" spans="1:5" ht="20" customHeight="1">
      <c r="A11" s="180" t="s">
        <v>541</v>
      </c>
      <c r="C11" s="241"/>
    </row>
    <row r="12" spans="1:5" ht="20" customHeight="1">
      <c r="A12" s="180" t="s">
        <v>566</v>
      </c>
      <c r="C12" s="241"/>
    </row>
    <row r="13" spans="1:5" ht="20" customHeight="1">
      <c r="A13" s="180" t="s">
        <v>567</v>
      </c>
      <c r="C13" s="241"/>
    </row>
    <row r="14" spans="1:5" ht="20" customHeight="1">
      <c r="A14" s="301" t="s">
        <v>545</v>
      </c>
      <c r="B14" s="301"/>
      <c r="C14" s="302"/>
    </row>
    <row r="15" spans="1:5" ht="20" customHeight="1">
      <c r="A15" s="303" t="s">
        <v>546</v>
      </c>
      <c r="B15" s="303"/>
      <c r="C15" s="304">
        <f>SUM(C3:C14)</f>
        <v>-33900</v>
      </c>
    </row>
    <row r="16" spans="1:5" ht="20" customHeight="1" thickBot="1">
      <c r="A16" s="305" t="s">
        <v>547</v>
      </c>
      <c r="B16" s="305"/>
      <c r="C16" s="306">
        <v>0</v>
      </c>
    </row>
    <row r="17" spans="3:3">
      <c r="C17" s="241"/>
    </row>
    <row r="18" spans="3:3">
      <c r="C18" s="241"/>
    </row>
    <row r="19" spans="3:3">
      <c r="C19" s="241"/>
    </row>
    <row r="20" spans="3:3">
      <c r="C20" s="241"/>
    </row>
    <row r="21" spans="3:3">
      <c r="C21" s="241"/>
    </row>
    <row r="22" spans="3:3">
      <c r="C22" s="241"/>
    </row>
    <row r="23" spans="3:3">
      <c r="C23" s="241"/>
    </row>
    <row r="24" spans="3:3">
      <c r="C24" s="241"/>
    </row>
    <row r="25" spans="3:3">
      <c r="C25" s="241"/>
    </row>
  </sheetData>
  <mergeCells count="1">
    <mergeCell ref="A1:E1"/>
  </mergeCells>
  <pageMargins left="0.7" right="0.7" top="0.75" bottom="0.75" header="0.3" footer="0.3"/>
  <pageSetup paperSize="9" scale="13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20</vt:i4>
      </vt:variant>
    </vt:vector>
  </HeadingPairs>
  <TitlesOfParts>
    <vt:vector size="55" baseType="lpstr">
      <vt:lpstr>SOFP  10.18</vt:lpstr>
      <vt:lpstr>SOI 10.18</vt:lpstr>
      <vt:lpstr>SOCE 10.18</vt:lpstr>
      <vt:lpstr>SCF 10.18</vt:lpstr>
      <vt:lpstr>3.1 10.18</vt:lpstr>
      <vt:lpstr>3.4 to 3.6 ao 10.18</vt:lpstr>
      <vt:lpstr>3.7 to 3.8 10.18</vt:lpstr>
      <vt:lpstr>3.9 to 3.11 AO 10.18</vt:lpstr>
      <vt:lpstr>3.12 to 3.18 ao 10.18</vt:lpstr>
      <vt:lpstr>3.19 to 3.20 ao.10.18</vt:lpstr>
      <vt:lpstr>3.16 to 3.20 ao 10.18</vt:lpstr>
      <vt:lpstr>Annex 1&amp;2 ao 10.18</vt:lpstr>
      <vt:lpstr>Tax Computation 10.18</vt:lpstr>
      <vt:lpstr>SOFP  03.15</vt:lpstr>
      <vt:lpstr>SOI 03.15</vt:lpstr>
      <vt:lpstr>SOCE 03.15</vt:lpstr>
      <vt:lpstr>SCF 03.15</vt:lpstr>
      <vt:lpstr>3.1 03.15</vt:lpstr>
      <vt:lpstr>TB update upto 10.18</vt:lpstr>
      <vt:lpstr>3.9 to 3.11 AO 03.15</vt:lpstr>
      <vt:lpstr>3.7 to 3.8 03.15</vt:lpstr>
      <vt:lpstr>3.4 to 3.6 ao 03.15</vt:lpstr>
      <vt:lpstr>3.12 to 3.18 ao 03.15</vt:lpstr>
      <vt:lpstr>3.19 to 3.20 ao.03.15</vt:lpstr>
      <vt:lpstr>3.16 to 3.20 ao 03.15</vt:lpstr>
      <vt:lpstr>Annex 1&amp;2 ao 03.15</vt:lpstr>
      <vt:lpstr>Tax Computation 03.15</vt:lpstr>
      <vt:lpstr>Sheet1</vt:lpstr>
      <vt:lpstr>10.18 to 03.15</vt:lpstr>
      <vt:lpstr>JV 2082.04.01-10.18</vt:lpstr>
      <vt:lpstr>After 03.15</vt:lpstr>
      <vt:lpstr>TB 2082.04.01-10.18</vt:lpstr>
      <vt:lpstr>TB 10.18 to 03.15</vt:lpstr>
      <vt:lpstr>TB After 03.15</vt:lpstr>
      <vt:lpstr>TB Sheet1</vt:lpstr>
      <vt:lpstr>'3.1 03.15'!Print_Area</vt:lpstr>
      <vt:lpstr>'3.1 10.18'!Print_Area</vt:lpstr>
      <vt:lpstr>'3.12 to 3.18 ao 03.15'!Print_Area</vt:lpstr>
      <vt:lpstr>'3.12 to 3.18 ao 10.18'!Print_Area</vt:lpstr>
      <vt:lpstr>'3.4 to 3.6 ao 03.15'!Print_Area</vt:lpstr>
      <vt:lpstr>'3.4 to 3.6 ao 10.18'!Print_Area</vt:lpstr>
      <vt:lpstr>'3.7 to 3.8 03.15'!Print_Area</vt:lpstr>
      <vt:lpstr>'3.7 to 3.8 10.18'!Print_Area</vt:lpstr>
      <vt:lpstr>'3.9 to 3.11 AO 03.15'!Print_Area</vt:lpstr>
      <vt:lpstr>'3.9 to 3.11 AO 10.18'!Print_Area</vt:lpstr>
      <vt:lpstr>'SCF 03.15'!Print_Area</vt:lpstr>
      <vt:lpstr>'SCF 10.18'!Print_Area</vt:lpstr>
      <vt:lpstr>'SOCE 03.15'!Print_Area</vt:lpstr>
      <vt:lpstr>'SOCE 10.18'!Print_Area</vt:lpstr>
      <vt:lpstr>'SOFP  03.15'!Print_Area</vt:lpstr>
      <vt:lpstr>'SOFP  10.18'!Print_Area</vt:lpstr>
      <vt:lpstr>'SOI 03.15'!Print_Area</vt:lpstr>
      <vt:lpstr>'SOI 10.18'!Print_Area</vt:lpstr>
      <vt:lpstr>'Tax Computation 03.15'!Print_Area</vt:lpstr>
      <vt:lpstr>'Tax Computation 10.18'!Print_Area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 Bhattarai</dc:creator>
  <cp:lastModifiedBy>Roshan Bhattarai</cp:lastModifiedBy>
  <dcterms:created xsi:type="dcterms:W3CDTF">2026-09-29T16:15:51Z</dcterms:created>
  <dcterms:modified xsi:type="dcterms:W3CDTF">2026-10-01T00:11:26Z</dcterms:modified>
</cp:coreProperties>
</file>